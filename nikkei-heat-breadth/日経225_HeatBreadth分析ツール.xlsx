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データ" sheetId="1" state="visible" r:id="rId3"/>
    <sheet name="HB分析" sheetId="2" state="visible" r:id="rId4"/>
    <sheet name="バックテスト" sheetId="3" state="visible" r:id="rId5"/>
    <sheet name="グラフ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<sst xmlns="http://schemas.openxmlformats.org/spreadsheetml/2006/main" count="20" uniqueCount="17">
  <si>
    <r>
      <rPr>
        <b val="true"/>
        <sz val="14"/>
        <rFont val="WenQuanYi Zen Hei"/>
        <family val="2"/>
      </rPr>
      <t xml:space="preserve">日経</t>
    </r>
    <r>
      <rPr>
        <b val="true"/>
        <sz val="14"/>
        <rFont val="Arial"/>
        <family val="0"/>
        <charset val="1"/>
      </rPr>
      <t xml:space="preserve">225</t>
    </r>
    <r>
      <rPr>
        <b val="true"/>
        <sz val="14"/>
        <rFont val="WenQuanYi Zen Hei"/>
        <family val="2"/>
      </rPr>
      <t xml:space="preserve">先物 </t>
    </r>
    <r>
      <rPr>
        <b val="true"/>
        <sz val="14"/>
        <rFont val="Arial"/>
        <family val="0"/>
        <charset val="1"/>
      </rPr>
      <t xml:space="preserve">Heat / Breadth </t>
    </r>
    <r>
      <rPr>
        <b val="true"/>
        <sz val="14"/>
        <rFont val="WenQuanYi Zen Hei"/>
        <family val="2"/>
      </rPr>
      <t xml:space="preserve">日次データ（貼り付け用）</t>
    </r>
  </si>
  <si>
    <r>
      <rPr>
        <i val="true"/>
        <sz val="9"/>
        <color rgb="FF808080"/>
        <rFont val="WenQuanYi Zen Hei"/>
        <family val="2"/>
      </rPr>
      <t xml:space="preserve">※このシートに日々の新しい行を追記してください（</t>
    </r>
    <r>
      <rPr>
        <i val="true"/>
        <sz val="9"/>
        <color rgb="FF808080"/>
        <rFont val="Arial"/>
        <family val="0"/>
        <charset val="1"/>
      </rPr>
      <t xml:space="preserve">Heat=</t>
    </r>
    <r>
      <rPr>
        <i val="true"/>
        <sz val="9"/>
        <color rgb="FF808080"/>
        <rFont val="WenQuanYi Zen Hei"/>
        <family val="2"/>
      </rPr>
      <t xml:space="preserve">新高値銘柄数</t>
    </r>
    <r>
      <rPr>
        <i val="true"/>
        <sz val="9"/>
        <color rgb="FF808080"/>
        <rFont val="Arial"/>
        <family val="0"/>
        <charset val="1"/>
      </rPr>
      <t xml:space="preserve">, Breadth=</t>
    </r>
    <r>
      <rPr>
        <i val="true"/>
        <sz val="9"/>
        <color rgb="FF808080"/>
        <rFont val="WenQuanYi Zen Hei"/>
        <family val="2"/>
      </rPr>
      <t xml:space="preserve">新安値銘柄数）</t>
    </r>
  </si>
  <si>
    <t xml:space="preserve">-</t>
  </si>
  <si>
    <r>
      <rPr>
        <b val="true"/>
        <sz val="14"/>
        <rFont val="Arial"/>
        <family val="0"/>
        <charset val="1"/>
      </rPr>
      <t xml:space="preserve">Heat / Breadth </t>
    </r>
    <r>
      <rPr>
        <b val="true"/>
        <sz val="14"/>
        <rFont val="WenQuanYi Zen Hei"/>
        <family val="2"/>
      </rPr>
      <t xml:space="preserve">分析（直近</t>
    </r>
    <r>
      <rPr>
        <b val="true"/>
        <sz val="14"/>
        <rFont val="Arial"/>
        <family val="0"/>
        <charset val="1"/>
      </rPr>
      <t xml:space="preserve">60</t>
    </r>
    <r>
      <rPr>
        <b val="true"/>
        <sz val="14"/>
        <rFont val="WenQuanYi Zen Hei"/>
        <family val="2"/>
      </rPr>
      <t xml:space="preserve">営業日レンジで正規化）</t>
    </r>
  </si>
  <si>
    <r>
      <rPr>
        <i val="true"/>
        <sz val="9"/>
        <color rgb="FF808080"/>
        <rFont val="Arial"/>
        <family val="0"/>
        <charset val="1"/>
      </rPr>
      <t xml:space="preserve">※ Heat</t>
    </r>
    <r>
      <rPr>
        <i val="true"/>
        <sz val="9"/>
        <color rgb="FF808080"/>
        <rFont val="WenQuanYi Zen Hei"/>
        <family val="2"/>
      </rPr>
      <t xml:space="preserve">正規化・</t>
    </r>
    <r>
      <rPr>
        <i val="true"/>
        <sz val="9"/>
        <color rgb="FF808080"/>
        <rFont val="Arial"/>
        <family val="0"/>
        <charset val="1"/>
      </rPr>
      <t xml:space="preserve">Breadth</t>
    </r>
    <r>
      <rPr>
        <i val="true"/>
        <sz val="9"/>
        <color rgb="FF808080"/>
        <rFont val="WenQuanYi Zen Hei"/>
        <family val="2"/>
      </rPr>
      <t xml:space="preserve">正規化は「直近</t>
    </r>
    <r>
      <rPr>
        <i val="true"/>
        <sz val="9"/>
        <color rgb="FF808080"/>
        <rFont val="Arial"/>
        <family val="0"/>
        <charset val="1"/>
      </rPr>
      <t xml:space="preserve">60</t>
    </r>
    <r>
      <rPr>
        <i val="true"/>
        <sz val="9"/>
        <color rgb="FF808080"/>
        <rFont val="WenQuanYi Zen Hei"/>
        <family val="2"/>
      </rPr>
      <t xml:space="preserve">営業日（データ不足時は取得可能な全期間）」の最大・最小で</t>
    </r>
    <r>
      <rPr>
        <i val="true"/>
        <sz val="9"/>
        <color rgb="FF808080"/>
        <rFont val="Arial"/>
        <family val="0"/>
        <charset val="1"/>
      </rPr>
      <t xml:space="preserve">0</t>
    </r>
    <r>
      <rPr>
        <i val="true"/>
        <sz val="9"/>
        <color rgb="FF808080"/>
        <rFont val="WenQuanYi Zen Hei"/>
        <family val="2"/>
      </rPr>
      <t xml:space="preserve">〜</t>
    </r>
    <r>
      <rPr>
        <i val="true"/>
        <sz val="9"/>
        <color rgb="FF808080"/>
        <rFont val="Arial"/>
        <family val="0"/>
        <charset val="1"/>
      </rPr>
      <t xml:space="preserve">25</t>
    </r>
    <r>
      <rPr>
        <i val="true"/>
        <sz val="9"/>
        <color rgb="FF808080"/>
        <rFont val="WenQuanYi Zen Hei"/>
        <family val="2"/>
      </rPr>
      <t xml:space="preserve">点化。</t>
    </r>
    <r>
      <rPr>
        <i val="true"/>
        <sz val="9"/>
        <color rgb="FF808080"/>
        <rFont val="Arial"/>
        <family val="0"/>
        <charset val="1"/>
      </rPr>
      <t xml:space="preserve">Top Score = </t>
    </r>
    <r>
      <rPr>
        <i val="true"/>
        <sz val="9"/>
        <color rgb="FF808080"/>
        <rFont val="WenQuanYi Zen Hei"/>
        <family val="2"/>
      </rPr>
      <t xml:space="preserve">天井（売り転換）警戒度、</t>
    </r>
    <r>
      <rPr>
        <i val="true"/>
        <sz val="9"/>
        <color rgb="FF808080"/>
        <rFont val="Arial"/>
        <family val="0"/>
        <charset val="1"/>
      </rPr>
      <t xml:space="preserve">Bottom Score = </t>
    </r>
    <r>
      <rPr>
        <i val="true"/>
        <sz val="9"/>
        <color rgb="FF808080"/>
        <rFont val="WenQuanYi Zen Hei"/>
        <family val="2"/>
      </rPr>
      <t xml:space="preserve">底（買い転換）警戒度。判定列は </t>
    </r>
    <r>
      <rPr>
        <i val="true"/>
        <sz val="9"/>
        <color rgb="FF808080"/>
        <rFont val="Arial"/>
        <family val="0"/>
        <charset val="1"/>
      </rPr>
      <t xml:space="preserve">6/19</t>
    </r>
    <r>
      <rPr>
        <i val="true"/>
        <sz val="9"/>
        <color rgb="FF808080"/>
        <rFont val="WenQuanYi Zen Hei"/>
        <family val="2"/>
      </rPr>
      <t xml:space="preserve">・</t>
    </r>
    <r>
      <rPr>
        <i val="true"/>
        <sz val="9"/>
        <color rgb="FF808080"/>
        <rFont val="Arial"/>
        <family val="0"/>
        <charset val="1"/>
      </rPr>
      <t xml:space="preserve">6/22</t>
    </r>
    <r>
      <rPr>
        <i val="true"/>
        <sz val="9"/>
        <color rgb="FF808080"/>
        <rFont val="WenQuanYi Zen Hei"/>
        <family val="2"/>
      </rPr>
      <t xml:space="preserve">・</t>
    </r>
    <r>
      <rPr>
        <i val="true"/>
        <sz val="9"/>
        <color rgb="FF808080"/>
        <rFont val="Arial"/>
        <family val="0"/>
        <charset val="1"/>
      </rPr>
      <t xml:space="preserve">6/23 </t>
    </r>
    <r>
      <rPr>
        <i val="true"/>
        <sz val="9"/>
        <color rgb="FF808080"/>
        <rFont val="WenQuanYi Zen Hei"/>
        <family val="2"/>
      </rPr>
      <t xml:space="preserve">の実データで検証した複合ルール（</t>
    </r>
    <r>
      <rPr>
        <i val="true"/>
        <sz val="9"/>
        <color rgb="FF808080"/>
        <rFont val="Arial"/>
        <family val="0"/>
        <charset val="1"/>
      </rPr>
      <t xml:space="preserve">Heat≧100 </t>
    </r>
    <r>
      <rPr>
        <i val="true"/>
        <sz val="9"/>
        <color rgb="FF808080"/>
        <rFont val="WenQuanYi Zen Hei"/>
        <family val="2"/>
      </rPr>
      <t xml:space="preserve">かつ </t>
    </r>
    <r>
      <rPr>
        <i val="true"/>
        <sz val="9"/>
        <color rgb="FF808080"/>
        <rFont val="Arial"/>
        <family val="0"/>
        <charset val="1"/>
      </rPr>
      <t xml:space="preserve">Heat</t>
    </r>
    <r>
      <rPr>
        <i val="true"/>
        <sz val="9"/>
        <color rgb="FF808080"/>
        <rFont val="WenQuanYi Zen Hei"/>
        <family val="2"/>
      </rPr>
      <t xml:space="preserve">前日比減少 かつ </t>
    </r>
    <r>
      <rPr>
        <i val="true"/>
        <sz val="9"/>
        <color rgb="FF808080"/>
        <rFont val="Arial"/>
        <family val="0"/>
        <charset val="1"/>
      </rPr>
      <t xml:space="preserve">Breadth≧100 </t>
    </r>
    <r>
      <rPr>
        <i val="true"/>
        <sz val="9"/>
        <color rgb="FF808080"/>
        <rFont val="WenQuanYi Zen Hei"/>
        <family val="2"/>
      </rPr>
      <t xml:space="preserve">かつ </t>
    </r>
    <r>
      <rPr>
        <i val="true"/>
        <sz val="9"/>
        <color rgb="FF808080"/>
        <rFont val="Arial"/>
        <family val="0"/>
        <charset val="1"/>
      </rPr>
      <t xml:space="preserve">Heat/Breadth</t>
    </r>
    <r>
      <rPr>
        <i val="true"/>
        <sz val="9"/>
        <color rgb="FF808080"/>
        <rFont val="WenQuanYi Zen Hei"/>
        <family val="2"/>
      </rPr>
      <t xml:space="preserve">比＜</t>
    </r>
    <r>
      <rPr>
        <i val="true"/>
        <sz val="9"/>
        <color rgb="FF808080"/>
        <rFont val="Arial"/>
        <family val="0"/>
        <charset val="1"/>
      </rPr>
      <t xml:space="preserve">1.1</t>
    </r>
    <r>
      <rPr>
        <i val="true"/>
        <sz val="9"/>
        <color rgb="FF808080"/>
        <rFont val="WenQuanYi Zen Hei"/>
        <family val="2"/>
      </rPr>
      <t xml:space="preserve">）。</t>
    </r>
  </si>
  <si>
    <r>
      <rPr>
        <b val="true"/>
        <sz val="14"/>
        <rFont val="WenQuanYi Zen Hei"/>
        <family val="2"/>
      </rPr>
      <t xml:space="preserve">バックテスト（売り転換シグナル</t>
    </r>
    <r>
      <rPr>
        <b val="true"/>
        <sz val="14"/>
        <rFont val="Arial"/>
        <family val="0"/>
        <charset val="1"/>
      </rPr>
      <t xml:space="preserve">: </t>
    </r>
    <r>
      <rPr>
        <b val="true"/>
        <sz val="14"/>
        <rFont val="WenQuanYi Zen Hei"/>
        <family val="2"/>
      </rPr>
      <t xml:space="preserve">判定</t>
    </r>
    <r>
      <rPr>
        <b val="true"/>
        <sz val="14"/>
        <rFont val="Arial"/>
        <family val="0"/>
        <charset val="1"/>
      </rPr>
      <t xml:space="preserve">=◎</t>
    </r>
    <r>
      <rPr>
        <b val="true"/>
        <sz val="14"/>
        <rFont val="WenQuanYi Zen Hei"/>
        <family val="2"/>
      </rPr>
      <t xml:space="preserve">売り確定で翌営業日始値に空売りエントリー、</t>
    </r>
    <r>
      <rPr>
        <b val="true"/>
        <sz val="14"/>
        <rFont val="Arial"/>
        <family val="0"/>
        <charset val="1"/>
      </rPr>
      <t xml:space="preserve">5</t>
    </r>
    <r>
      <rPr>
        <b val="true"/>
        <sz val="14"/>
        <rFont val="WenQuanYi Zen Hei"/>
        <family val="2"/>
      </rPr>
      <t xml:space="preserve">営業日後終値で決済）</t>
    </r>
  </si>
  <si>
    <r>
      <rPr>
        <i val="true"/>
        <sz val="9"/>
        <color rgb="FFC00000"/>
        <rFont val="WenQuanYi Zen Hei"/>
        <family val="2"/>
      </rPr>
      <t xml:space="preserve">※ サンプル数が少ないため（</t>
    </r>
    <r>
      <rPr>
        <i val="true"/>
        <sz val="9"/>
        <color rgb="FFC00000"/>
        <rFont val="Arial"/>
        <family val="0"/>
        <charset val="1"/>
      </rPr>
      <t xml:space="preserve">Heat/Breadth</t>
    </r>
    <r>
      <rPr>
        <i val="true"/>
        <sz val="9"/>
        <color rgb="FFC00000"/>
        <rFont val="WenQuanYi Zen Hei"/>
        <family val="2"/>
      </rPr>
      <t xml:space="preserve">データは</t>
    </r>
    <r>
      <rPr>
        <i val="true"/>
        <sz val="9"/>
        <color rgb="FFC00000"/>
        <rFont val="Arial"/>
        <family val="0"/>
        <charset val="1"/>
      </rPr>
      <t xml:space="preserve">2026/4/13</t>
    </r>
    <r>
      <rPr>
        <i val="true"/>
        <sz val="9"/>
        <color rgb="FFC00000"/>
        <rFont val="WenQuanYi Zen Hei"/>
        <family val="2"/>
      </rPr>
      <t xml:space="preserve">〜</t>
    </r>
    <r>
      <rPr>
        <i val="true"/>
        <sz val="9"/>
        <color rgb="FFC00000"/>
        <rFont val="Arial"/>
        <family val="0"/>
        <charset val="1"/>
      </rPr>
      <t xml:space="preserve">2026/7/17</t>
    </r>
    <r>
      <rPr>
        <i val="true"/>
        <sz val="9"/>
        <color rgb="FFC00000"/>
        <rFont val="WenQuanYi Zen Hei"/>
        <family val="2"/>
      </rPr>
      <t xml:space="preserve">の約</t>
    </r>
    <r>
      <rPr>
        <i val="true"/>
        <sz val="9"/>
        <color rgb="FFC00000"/>
        <rFont val="Arial"/>
        <family val="0"/>
        <charset val="1"/>
      </rPr>
      <t xml:space="preserve">66</t>
    </r>
    <r>
      <rPr>
        <i val="true"/>
        <sz val="9"/>
        <color rgb="FFC00000"/>
        <rFont val="WenQuanYi Zen Hei"/>
        <family val="2"/>
      </rPr>
      <t xml:space="preserve">営業日分のみ）、本結果は統計的に信頼できるものではありません。データが蓄積してから再検証してください。</t>
    </r>
  </si>
  <si>
    <t xml:space="preserve">サマリー</t>
  </si>
  <si>
    <t xml:space="preserve">総トレード数</t>
  </si>
  <si>
    <t xml:space="preserve">勝ちトレード数</t>
  </si>
  <si>
    <t xml:space="preserve">勝率</t>
  </si>
  <si>
    <r>
      <rPr>
        <b val="true"/>
        <sz val="10"/>
        <rFont val="WenQuanYi Zen Hei"/>
        <family val="2"/>
      </rPr>
      <t xml:space="preserve">総利益</t>
    </r>
    <r>
      <rPr>
        <b val="true"/>
        <sz val="10"/>
        <rFont val="Arial"/>
        <family val="0"/>
        <charset val="1"/>
      </rPr>
      <t xml:space="preserve">(pt)</t>
    </r>
  </si>
  <si>
    <r>
      <rPr>
        <b val="true"/>
        <sz val="10"/>
        <rFont val="WenQuanYi Zen Hei"/>
        <family val="2"/>
      </rPr>
      <t xml:space="preserve">総損失</t>
    </r>
    <r>
      <rPr>
        <b val="true"/>
        <sz val="10"/>
        <rFont val="Arial"/>
        <family val="0"/>
        <charset val="1"/>
      </rPr>
      <t xml:space="preserve">(pt)</t>
    </r>
  </si>
  <si>
    <t xml:space="preserve">プロフィットファクター</t>
  </si>
  <si>
    <r>
      <rPr>
        <b val="true"/>
        <sz val="10"/>
        <rFont val="WenQuanYi Zen Hei"/>
        <family val="2"/>
      </rPr>
      <t xml:space="preserve">最終累積損益</t>
    </r>
    <r>
      <rPr>
        <b val="true"/>
        <sz val="10"/>
        <rFont val="Arial"/>
        <family val="0"/>
        <charset val="1"/>
      </rPr>
      <t xml:space="preserve">(pt)</t>
    </r>
  </si>
  <si>
    <r>
      <rPr>
        <b val="true"/>
        <sz val="10"/>
        <rFont val="WenQuanYi Zen Hei"/>
        <family val="2"/>
      </rPr>
      <t xml:space="preserve">最大ドローダウン</t>
    </r>
    <r>
      <rPr>
        <b val="true"/>
        <sz val="10"/>
        <rFont val="Arial"/>
        <family val="0"/>
        <charset val="1"/>
      </rPr>
      <t xml:space="preserve">(pt)</t>
    </r>
  </si>
  <si>
    <r>
      <rPr>
        <b val="true"/>
        <sz val="14"/>
        <rFont val="WenQuanYi Zen Hei"/>
        <family val="2"/>
      </rPr>
      <t xml:space="preserve">グラフ（</t>
    </r>
    <r>
      <rPr>
        <b val="true"/>
        <sz val="14"/>
        <rFont val="Arial"/>
        <family val="0"/>
        <charset val="1"/>
      </rPr>
      <t xml:space="preserve">Heat/Breadth</t>
    </r>
    <r>
      <rPr>
        <b val="true"/>
        <sz val="14"/>
        <rFont val="WenQuanYi Zen Hei"/>
        <family val="2"/>
      </rPr>
      <t xml:space="preserve">・</t>
    </r>
    <r>
      <rPr>
        <b val="true"/>
        <sz val="14"/>
        <rFont val="Arial"/>
        <family val="0"/>
        <charset val="1"/>
      </rPr>
      <t xml:space="preserve">Top/Bottom Score</t>
    </r>
    <r>
      <rPr>
        <b val="true"/>
        <sz val="14"/>
        <rFont val="WenQuanYi Zen Hei"/>
        <family val="2"/>
      </rPr>
      <t xml:space="preserve">・損益曲線）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</si>
</sst>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/m/d"/>
    <numFmt numFmtId="166" formatCode="#,##0"/>
    <numFmt numFmtId="167" formatCode="General"/>
    <numFmt numFmtId="168" formatCode="0.0"/>
    <numFmt numFmtId="169" formatCode="0.0%"/>
    <numFmt numFmtId="170" formatCode="#,##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i val="true"/>
      <sz val="9"/>
      <color rgb="FF808080"/>
      <name val="WenQuanYi Zen Hei"/>
      <family val="2"/>
    </font>
    <font>
      <i val="true"/>
      <sz val="9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C00000"/>
      <name val="WenQuanYi Zen Hei"/>
      <family val="2"/>
    </font>
    <font>
      <i val="true"/>
      <sz val="9"/>
      <color rgb="FFC00000"/>
      <name val="Arial"/>
      <family val="0"/>
      <charset val="1"/>
    </font>
    <font>
      <b val="true"/>
      <sz val="11"/>
      <name val="WenQuanYi Zen Hei"/>
      <family val="2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  <font>
      <b val="true"/>
      <sz val="10"/>
      <color rgb="FF000000"/>
      <name val="WenQuanYi Zen He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9999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Heat / Breadth 推移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HB分析!B3</c:f>
              <c:strCache>
                <c:ptCount val="1"/>
                <c:pt idx="0">
                  <c:v>73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HB分析!$A$3:$A$72</c:f>
              <c:strCache>
                <c:ptCount val="70"/>
                <c:pt idx="0">
                  <c:v>2026/4/13</c:v>
                </c:pt>
                <c:pt idx="1">
                  <c:v>2026/4/14</c:v>
                </c:pt>
                <c:pt idx="2">
                  <c:v>2026/4/15</c:v>
                </c:pt>
                <c:pt idx="3">
                  <c:v>2026/4/16</c:v>
                </c:pt>
                <c:pt idx="4">
                  <c:v>2026/4/17</c:v>
                </c:pt>
                <c:pt idx="5">
                  <c:v>2026/4/20</c:v>
                </c:pt>
                <c:pt idx="6">
                  <c:v>2026/4/21</c:v>
                </c:pt>
                <c:pt idx="7">
                  <c:v>2026/4/22</c:v>
                </c:pt>
                <c:pt idx="8">
                  <c:v>2026/4/23</c:v>
                </c:pt>
                <c:pt idx="9">
                  <c:v>2026/4/24</c:v>
                </c:pt>
                <c:pt idx="10">
                  <c:v>2026/4/27</c:v>
                </c:pt>
                <c:pt idx="11">
                  <c:v>2026/4/28</c:v>
                </c:pt>
                <c:pt idx="12">
                  <c:v>2026/4/29</c:v>
                </c:pt>
                <c:pt idx="13">
                  <c:v>2026/4/30</c:v>
                </c:pt>
                <c:pt idx="14">
                  <c:v>2026/5/1</c:v>
                </c:pt>
                <c:pt idx="15">
                  <c:v>2026/5/4</c:v>
                </c:pt>
                <c:pt idx="16">
                  <c:v>2026/5/5</c:v>
                </c:pt>
                <c:pt idx="17">
                  <c:v>2026/5/6</c:v>
                </c:pt>
                <c:pt idx="18">
                  <c:v>2026/5/7</c:v>
                </c:pt>
                <c:pt idx="19">
                  <c:v>2026/5/8</c:v>
                </c:pt>
                <c:pt idx="20">
                  <c:v>2026/5/11</c:v>
                </c:pt>
                <c:pt idx="21">
                  <c:v>2026/5/12</c:v>
                </c:pt>
                <c:pt idx="22">
                  <c:v>2026/5/13</c:v>
                </c:pt>
                <c:pt idx="23">
                  <c:v>2026/5/14</c:v>
                </c:pt>
                <c:pt idx="24">
                  <c:v>2026/5/15</c:v>
                </c:pt>
                <c:pt idx="25">
                  <c:v>2026/5/18</c:v>
                </c:pt>
                <c:pt idx="26">
                  <c:v>2026/5/19</c:v>
                </c:pt>
                <c:pt idx="27">
                  <c:v>2026/5/20</c:v>
                </c:pt>
                <c:pt idx="28">
                  <c:v>2026/5/21</c:v>
                </c:pt>
                <c:pt idx="29">
                  <c:v>2026/5/22</c:v>
                </c:pt>
                <c:pt idx="30">
                  <c:v>2026/5/25</c:v>
                </c:pt>
                <c:pt idx="31">
                  <c:v>2026/5/26</c:v>
                </c:pt>
                <c:pt idx="32">
                  <c:v>2026/5/27</c:v>
                </c:pt>
                <c:pt idx="33">
                  <c:v>2026/5/28</c:v>
                </c:pt>
                <c:pt idx="34">
                  <c:v>2026/5/29</c:v>
                </c:pt>
                <c:pt idx="35">
                  <c:v>2026/6/1</c:v>
                </c:pt>
                <c:pt idx="36">
                  <c:v>2026/6/2</c:v>
                </c:pt>
                <c:pt idx="37">
                  <c:v>2026/6/3</c:v>
                </c:pt>
                <c:pt idx="38">
                  <c:v>2026/6/4</c:v>
                </c:pt>
                <c:pt idx="39">
                  <c:v>2026/6/5</c:v>
                </c:pt>
                <c:pt idx="40">
                  <c:v>2026/6/8</c:v>
                </c:pt>
                <c:pt idx="41">
                  <c:v>2026/6/9</c:v>
                </c:pt>
                <c:pt idx="42">
                  <c:v>2026/6/10</c:v>
                </c:pt>
                <c:pt idx="43">
                  <c:v>2026/6/11</c:v>
                </c:pt>
                <c:pt idx="44">
                  <c:v>2026/6/12</c:v>
                </c:pt>
                <c:pt idx="45">
                  <c:v>2026/6/15</c:v>
                </c:pt>
                <c:pt idx="46">
                  <c:v>2026/6/16</c:v>
                </c:pt>
                <c:pt idx="47">
                  <c:v>2026/6/17</c:v>
                </c:pt>
                <c:pt idx="48">
                  <c:v>2026/6/18</c:v>
                </c:pt>
                <c:pt idx="49">
                  <c:v>2026/6/19</c:v>
                </c:pt>
                <c:pt idx="50">
                  <c:v>2026/6/22</c:v>
                </c:pt>
                <c:pt idx="51">
                  <c:v>2026/6/23</c:v>
                </c:pt>
                <c:pt idx="52">
                  <c:v>2026/6/24</c:v>
                </c:pt>
                <c:pt idx="53">
                  <c:v>2026/6/25</c:v>
                </c:pt>
                <c:pt idx="54">
                  <c:v>2026/6/26</c:v>
                </c:pt>
                <c:pt idx="55">
                  <c:v>2026/6/29</c:v>
                </c:pt>
                <c:pt idx="56">
                  <c:v>2026/6/30</c:v>
                </c:pt>
                <c:pt idx="57">
                  <c:v>2026/7/1</c:v>
                </c:pt>
                <c:pt idx="58">
                  <c:v>2026/7/2</c:v>
                </c:pt>
                <c:pt idx="59">
                  <c:v>2026/7/3</c:v>
                </c:pt>
                <c:pt idx="60">
                  <c:v>2026/7/6</c:v>
                </c:pt>
                <c:pt idx="61">
                  <c:v>2026/7/7</c:v>
                </c:pt>
                <c:pt idx="62">
                  <c:v>2026/7/8</c:v>
                </c:pt>
                <c:pt idx="63">
                  <c:v>2026/7/9</c:v>
                </c:pt>
                <c:pt idx="64">
                  <c:v>2026/7/10</c:v>
                </c:pt>
                <c:pt idx="65">
                  <c:v>2026/7/13</c:v>
                </c:pt>
                <c:pt idx="66">
                  <c:v>2026/7/14</c:v>
                </c:pt>
                <c:pt idx="67">
                  <c:v>2026/7/15</c:v>
                </c:pt>
                <c:pt idx="68">
                  <c:v>2026/7/16</c:v>
                </c:pt>
                <c:pt idx="69">
                  <c:v>2026/7/17</c:v>
                </c:pt>
              </c:strCache>
            </c:strRef>
          </c:cat>
          <c:val>
            <c:numRef>
              <c:f>HB分析!$B$4:$B$72</c:f>
              <c:numCache>
                <c:formatCode>#,##0</c:formatCode>
                <c:ptCount val="69"/>
                <c:pt idx="0">
                  <c:v>94</c:v>
                </c:pt>
                <c:pt idx="1">
                  <c:v>115</c:v>
                </c:pt>
                <c:pt idx="2">
                  <c:v>82</c:v>
                </c:pt>
                <c:pt idx="3">
                  <c:v>55</c:v>
                </c:pt>
                <c:pt idx="4">
                  <c:v>68</c:v>
                </c:pt>
                <c:pt idx="5">
                  <c:v>82</c:v>
                </c:pt>
                <c:pt idx="6">
                  <c:v>48</c:v>
                </c:pt>
                <c:pt idx="7">
                  <c:v>39</c:v>
                </c:pt>
                <c:pt idx="8">
                  <c:v>47</c:v>
                </c:pt>
                <c:pt idx="9">
                  <c:v>60</c:v>
                </c:pt>
                <c:pt idx="10">
                  <c:v>58</c:v>
                </c:pt>
                <c:pt idx="12">
                  <c:v>74</c:v>
                </c:pt>
                <c:pt idx="13">
                  <c:v>60</c:v>
                </c:pt>
                <c:pt idx="17">
                  <c:v>162</c:v>
                </c:pt>
                <c:pt idx="18">
                  <c:v>129</c:v>
                </c:pt>
                <c:pt idx="19">
                  <c:v>198</c:v>
                </c:pt>
                <c:pt idx="20">
                  <c:v>192</c:v>
                </c:pt>
                <c:pt idx="21">
                  <c:v>128</c:v>
                </c:pt>
                <c:pt idx="22">
                  <c:v>180</c:v>
                </c:pt>
                <c:pt idx="23">
                  <c:v>151</c:v>
                </c:pt>
                <c:pt idx="24">
                  <c:v>94</c:v>
                </c:pt>
                <c:pt idx="25">
                  <c:v>109</c:v>
                </c:pt>
                <c:pt idx="26">
                  <c:v>68</c:v>
                </c:pt>
                <c:pt idx="27">
                  <c:v>115</c:v>
                </c:pt>
                <c:pt idx="28">
                  <c:v>98</c:v>
                </c:pt>
                <c:pt idx="29">
                  <c:v>140</c:v>
                </c:pt>
                <c:pt idx="30">
                  <c:v>133</c:v>
                </c:pt>
                <c:pt idx="31">
                  <c:v>128</c:v>
                </c:pt>
                <c:pt idx="32">
                  <c:v>72</c:v>
                </c:pt>
                <c:pt idx="33">
                  <c:v>138</c:v>
                </c:pt>
                <c:pt idx="34">
                  <c:v>100</c:v>
                </c:pt>
                <c:pt idx="35">
                  <c:v>49</c:v>
                </c:pt>
                <c:pt idx="36">
                  <c:v>90</c:v>
                </c:pt>
                <c:pt idx="37">
                  <c:v>64</c:v>
                </c:pt>
                <c:pt idx="38">
                  <c:v>70</c:v>
                </c:pt>
                <c:pt idx="39">
                  <c:v>27</c:v>
                </c:pt>
                <c:pt idx="40">
                  <c:v>62</c:v>
                </c:pt>
                <c:pt idx="41">
                  <c:v>85</c:v>
                </c:pt>
                <c:pt idx="42">
                  <c:v>22</c:v>
                </c:pt>
                <c:pt idx="43">
                  <c:v>47</c:v>
                </c:pt>
                <c:pt idx="44">
                  <c:v>95</c:v>
                </c:pt>
                <c:pt idx="45">
                  <c:v>47</c:v>
                </c:pt>
                <c:pt idx="46">
                  <c:v>65</c:v>
                </c:pt>
                <c:pt idx="47">
                  <c:v>110</c:v>
                </c:pt>
                <c:pt idx="48">
                  <c:v>118</c:v>
                </c:pt>
                <c:pt idx="49">
                  <c:v>105</c:v>
                </c:pt>
                <c:pt idx="50">
                  <c:v>73</c:v>
                </c:pt>
                <c:pt idx="51">
                  <c:v>31</c:v>
                </c:pt>
                <c:pt idx="52">
                  <c:v>70</c:v>
                </c:pt>
                <c:pt idx="53">
                  <c:v>55</c:v>
                </c:pt>
                <c:pt idx="54">
                  <c:v>61</c:v>
                </c:pt>
                <c:pt idx="55">
                  <c:v>64</c:v>
                </c:pt>
                <c:pt idx="56">
                  <c:v>72</c:v>
                </c:pt>
                <c:pt idx="57">
                  <c:v>83</c:v>
                </c:pt>
                <c:pt idx="58">
                  <c:v>102</c:v>
                </c:pt>
                <c:pt idx="59">
                  <c:v>118</c:v>
                </c:pt>
                <c:pt idx="60">
                  <c:v>130</c:v>
                </c:pt>
                <c:pt idx="61">
                  <c:v>87</c:v>
                </c:pt>
                <c:pt idx="62">
                  <c:v>43</c:v>
                </c:pt>
                <c:pt idx="63">
                  <c:v>60</c:v>
                </c:pt>
                <c:pt idx="64">
                  <c:v>67</c:v>
                </c:pt>
                <c:pt idx="65">
                  <c:v>58</c:v>
                </c:pt>
                <c:pt idx="66">
                  <c:v>93</c:v>
                </c:pt>
                <c:pt idx="67">
                  <c:v>77</c:v>
                </c:pt>
                <c:pt idx="68">
                  <c:v>40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HB分析!C3</c:f>
              <c:strCache>
                <c:ptCount val="1"/>
                <c:pt idx="0">
                  <c:v>49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HB分析!$A$3:$A$72</c:f>
              <c:strCache>
                <c:ptCount val="70"/>
                <c:pt idx="0">
                  <c:v>2026/4/13</c:v>
                </c:pt>
                <c:pt idx="1">
                  <c:v>2026/4/14</c:v>
                </c:pt>
                <c:pt idx="2">
                  <c:v>2026/4/15</c:v>
                </c:pt>
                <c:pt idx="3">
                  <c:v>2026/4/16</c:v>
                </c:pt>
                <c:pt idx="4">
                  <c:v>2026/4/17</c:v>
                </c:pt>
                <c:pt idx="5">
                  <c:v>2026/4/20</c:v>
                </c:pt>
                <c:pt idx="6">
                  <c:v>2026/4/21</c:v>
                </c:pt>
                <c:pt idx="7">
                  <c:v>2026/4/22</c:v>
                </c:pt>
                <c:pt idx="8">
                  <c:v>2026/4/23</c:v>
                </c:pt>
                <c:pt idx="9">
                  <c:v>2026/4/24</c:v>
                </c:pt>
                <c:pt idx="10">
                  <c:v>2026/4/27</c:v>
                </c:pt>
                <c:pt idx="11">
                  <c:v>2026/4/28</c:v>
                </c:pt>
                <c:pt idx="12">
                  <c:v>2026/4/29</c:v>
                </c:pt>
                <c:pt idx="13">
                  <c:v>2026/4/30</c:v>
                </c:pt>
                <c:pt idx="14">
                  <c:v>2026/5/1</c:v>
                </c:pt>
                <c:pt idx="15">
                  <c:v>2026/5/4</c:v>
                </c:pt>
                <c:pt idx="16">
                  <c:v>2026/5/5</c:v>
                </c:pt>
                <c:pt idx="17">
                  <c:v>2026/5/6</c:v>
                </c:pt>
                <c:pt idx="18">
                  <c:v>2026/5/7</c:v>
                </c:pt>
                <c:pt idx="19">
                  <c:v>2026/5/8</c:v>
                </c:pt>
                <c:pt idx="20">
                  <c:v>2026/5/11</c:v>
                </c:pt>
                <c:pt idx="21">
                  <c:v>2026/5/12</c:v>
                </c:pt>
                <c:pt idx="22">
                  <c:v>2026/5/13</c:v>
                </c:pt>
                <c:pt idx="23">
                  <c:v>2026/5/14</c:v>
                </c:pt>
                <c:pt idx="24">
                  <c:v>2026/5/15</c:v>
                </c:pt>
                <c:pt idx="25">
                  <c:v>2026/5/18</c:v>
                </c:pt>
                <c:pt idx="26">
                  <c:v>2026/5/19</c:v>
                </c:pt>
                <c:pt idx="27">
                  <c:v>2026/5/20</c:v>
                </c:pt>
                <c:pt idx="28">
                  <c:v>2026/5/21</c:v>
                </c:pt>
                <c:pt idx="29">
                  <c:v>2026/5/22</c:v>
                </c:pt>
                <c:pt idx="30">
                  <c:v>2026/5/25</c:v>
                </c:pt>
                <c:pt idx="31">
                  <c:v>2026/5/26</c:v>
                </c:pt>
                <c:pt idx="32">
                  <c:v>2026/5/27</c:v>
                </c:pt>
                <c:pt idx="33">
                  <c:v>2026/5/28</c:v>
                </c:pt>
                <c:pt idx="34">
                  <c:v>2026/5/29</c:v>
                </c:pt>
                <c:pt idx="35">
                  <c:v>2026/6/1</c:v>
                </c:pt>
                <c:pt idx="36">
                  <c:v>2026/6/2</c:v>
                </c:pt>
                <c:pt idx="37">
                  <c:v>2026/6/3</c:v>
                </c:pt>
                <c:pt idx="38">
                  <c:v>2026/6/4</c:v>
                </c:pt>
                <c:pt idx="39">
                  <c:v>2026/6/5</c:v>
                </c:pt>
                <c:pt idx="40">
                  <c:v>2026/6/8</c:v>
                </c:pt>
                <c:pt idx="41">
                  <c:v>2026/6/9</c:v>
                </c:pt>
                <c:pt idx="42">
                  <c:v>2026/6/10</c:v>
                </c:pt>
                <c:pt idx="43">
                  <c:v>2026/6/11</c:v>
                </c:pt>
                <c:pt idx="44">
                  <c:v>2026/6/12</c:v>
                </c:pt>
                <c:pt idx="45">
                  <c:v>2026/6/15</c:v>
                </c:pt>
                <c:pt idx="46">
                  <c:v>2026/6/16</c:v>
                </c:pt>
                <c:pt idx="47">
                  <c:v>2026/6/17</c:v>
                </c:pt>
                <c:pt idx="48">
                  <c:v>2026/6/18</c:v>
                </c:pt>
                <c:pt idx="49">
                  <c:v>2026/6/19</c:v>
                </c:pt>
                <c:pt idx="50">
                  <c:v>2026/6/22</c:v>
                </c:pt>
                <c:pt idx="51">
                  <c:v>2026/6/23</c:v>
                </c:pt>
                <c:pt idx="52">
                  <c:v>2026/6/24</c:v>
                </c:pt>
                <c:pt idx="53">
                  <c:v>2026/6/25</c:v>
                </c:pt>
                <c:pt idx="54">
                  <c:v>2026/6/26</c:v>
                </c:pt>
                <c:pt idx="55">
                  <c:v>2026/6/29</c:v>
                </c:pt>
                <c:pt idx="56">
                  <c:v>2026/6/30</c:v>
                </c:pt>
                <c:pt idx="57">
                  <c:v>2026/7/1</c:v>
                </c:pt>
                <c:pt idx="58">
                  <c:v>2026/7/2</c:v>
                </c:pt>
                <c:pt idx="59">
                  <c:v>2026/7/3</c:v>
                </c:pt>
                <c:pt idx="60">
                  <c:v>2026/7/6</c:v>
                </c:pt>
                <c:pt idx="61">
                  <c:v>2026/7/7</c:v>
                </c:pt>
                <c:pt idx="62">
                  <c:v>2026/7/8</c:v>
                </c:pt>
                <c:pt idx="63">
                  <c:v>2026/7/9</c:v>
                </c:pt>
                <c:pt idx="64">
                  <c:v>2026/7/10</c:v>
                </c:pt>
                <c:pt idx="65">
                  <c:v>2026/7/13</c:v>
                </c:pt>
                <c:pt idx="66">
                  <c:v>2026/7/14</c:v>
                </c:pt>
                <c:pt idx="67">
                  <c:v>2026/7/15</c:v>
                </c:pt>
                <c:pt idx="68">
                  <c:v>2026/7/16</c:v>
                </c:pt>
                <c:pt idx="69">
                  <c:v>2026/7/17</c:v>
                </c:pt>
              </c:strCache>
            </c:strRef>
          </c:cat>
          <c:val>
            <c:numRef>
              <c:f>HB分析!$C$4:$C$72</c:f>
              <c:numCache>
                <c:formatCode>#,##0</c:formatCode>
                <c:ptCount val="69"/>
                <c:pt idx="0">
                  <c:v>39</c:v>
                </c:pt>
                <c:pt idx="1">
                  <c:v>38</c:v>
                </c:pt>
                <c:pt idx="2">
                  <c:v>28</c:v>
                </c:pt>
                <c:pt idx="3">
                  <c:v>22</c:v>
                </c:pt>
                <c:pt idx="4">
                  <c:v>26</c:v>
                </c:pt>
                <c:pt idx="5">
                  <c:v>35</c:v>
                </c:pt>
                <c:pt idx="6">
                  <c:v>51</c:v>
                </c:pt>
                <c:pt idx="7">
                  <c:v>125</c:v>
                </c:pt>
                <c:pt idx="8">
                  <c:v>120</c:v>
                </c:pt>
                <c:pt idx="9">
                  <c:v>144</c:v>
                </c:pt>
                <c:pt idx="10">
                  <c:v>91</c:v>
                </c:pt>
                <c:pt idx="12">
                  <c:v>130</c:v>
                </c:pt>
                <c:pt idx="13">
                  <c:v>146</c:v>
                </c:pt>
                <c:pt idx="17">
                  <c:v>87</c:v>
                </c:pt>
                <c:pt idx="18">
                  <c:v>85</c:v>
                </c:pt>
                <c:pt idx="19">
                  <c:v>105</c:v>
                </c:pt>
                <c:pt idx="20">
                  <c:v>128</c:v>
                </c:pt>
                <c:pt idx="21">
                  <c:v>116</c:v>
                </c:pt>
                <c:pt idx="22">
                  <c:v>222</c:v>
                </c:pt>
                <c:pt idx="23">
                  <c:v>199</c:v>
                </c:pt>
                <c:pt idx="24">
                  <c:v>274</c:v>
                </c:pt>
                <c:pt idx="25">
                  <c:v>95</c:v>
                </c:pt>
                <c:pt idx="26">
                  <c:v>202</c:v>
                </c:pt>
                <c:pt idx="27">
                  <c:v>100</c:v>
                </c:pt>
                <c:pt idx="28">
                  <c:v>108</c:v>
                </c:pt>
                <c:pt idx="29">
                  <c:v>172</c:v>
                </c:pt>
                <c:pt idx="30">
                  <c:v>170</c:v>
                </c:pt>
                <c:pt idx="31">
                  <c:v>201</c:v>
                </c:pt>
                <c:pt idx="32">
                  <c:v>138</c:v>
                </c:pt>
                <c:pt idx="33">
                  <c:v>67</c:v>
                </c:pt>
                <c:pt idx="34">
                  <c:v>259</c:v>
                </c:pt>
                <c:pt idx="35">
                  <c:v>345</c:v>
                </c:pt>
                <c:pt idx="36">
                  <c:v>261</c:v>
                </c:pt>
                <c:pt idx="37">
                  <c:v>208</c:v>
                </c:pt>
                <c:pt idx="38">
                  <c:v>62</c:v>
                </c:pt>
                <c:pt idx="39">
                  <c:v>163</c:v>
                </c:pt>
                <c:pt idx="40">
                  <c:v>119</c:v>
                </c:pt>
                <c:pt idx="41">
                  <c:v>196</c:v>
                </c:pt>
                <c:pt idx="42">
                  <c:v>232</c:v>
                </c:pt>
                <c:pt idx="43">
                  <c:v>123</c:v>
                </c:pt>
                <c:pt idx="44">
                  <c:v>86</c:v>
                </c:pt>
                <c:pt idx="45">
                  <c:v>136</c:v>
                </c:pt>
                <c:pt idx="46">
                  <c:v>61</c:v>
                </c:pt>
                <c:pt idx="47">
                  <c:v>76</c:v>
                </c:pt>
                <c:pt idx="48">
                  <c:v>114</c:v>
                </c:pt>
                <c:pt idx="49">
                  <c:v>107</c:v>
                </c:pt>
                <c:pt idx="50">
                  <c:v>157</c:v>
                </c:pt>
                <c:pt idx="51">
                  <c:v>124</c:v>
                </c:pt>
                <c:pt idx="52">
                  <c:v>91</c:v>
                </c:pt>
                <c:pt idx="53">
                  <c:v>126</c:v>
                </c:pt>
                <c:pt idx="54">
                  <c:v>78</c:v>
                </c:pt>
                <c:pt idx="55">
                  <c:v>38</c:v>
                </c:pt>
                <c:pt idx="56">
                  <c:v>30</c:v>
                </c:pt>
                <c:pt idx="57">
                  <c:v>11</c:v>
                </c:pt>
                <c:pt idx="58">
                  <c:v>14</c:v>
                </c:pt>
                <c:pt idx="59">
                  <c:v>5</c:v>
                </c:pt>
                <c:pt idx="60">
                  <c:v>7</c:v>
                </c:pt>
                <c:pt idx="61">
                  <c:v>8</c:v>
                </c:pt>
                <c:pt idx="62">
                  <c:v>8</c:v>
                </c:pt>
                <c:pt idx="63">
                  <c:v>4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10</c:v>
                </c:pt>
                <c:pt idx="68">
                  <c:v>43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9156264"/>
        <c:axId val="97430753"/>
      </c:lineChart>
      <c:catAx>
        <c:axId val="691562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/m/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430753"/>
        <c:crosses val="autoZero"/>
        <c:auto val="1"/>
        <c:lblAlgn val="ctr"/>
        <c:lblOffset val="100"/>
        <c:noMultiLvlLbl val="0"/>
      </c:catAx>
      <c:valAx>
        <c:axId val="974307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件数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1562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Score (天井警戒) / Bottom Score (底警戒)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HB分析!M3</c:f>
              <c:strCache>
                <c:ptCount val="1"/>
                <c:pt idx="0">
                  <c:v>25.0</c:v>
                </c:pt>
              </c:strCache>
            </c:strRef>
          </c:tx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HB分析!$A$3:$A$72</c:f>
              <c:strCache>
                <c:ptCount val="70"/>
                <c:pt idx="0">
                  <c:v>2026/4/13</c:v>
                </c:pt>
                <c:pt idx="1">
                  <c:v>2026/4/14</c:v>
                </c:pt>
                <c:pt idx="2">
                  <c:v>2026/4/15</c:v>
                </c:pt>
                <c:pt idx="3">
                  <c:v>2026/4/16</c:v>
                </c:pt>
                <c:pt idx="4">
                  <c:v>2026/4/17</c:v>
                </c:pt>
                <c:pt idx="5">
                  <c:v>2026/4/20</c:v>
                </c:pt>
                <c:pt idx="6">
                  <c:v>2026/4/21</c:v>
                </c:pt>
                <c:pt idx="7">
                  <c:v>2026/4/22</c:v>
                </c:pt>
                <c:pt idx="8">
                  <c:v>2026/4/23</c:v>
                </c:pt>
                <c:pt idx="9">
                  <c:v>2026/4/24</c:v>
                </c:pt>
                <c:pt idx="10">
                  <c:v>2026/4/27</c:v>
                </c:pt>
                <c:pt idx="11">
                  <c:v>2026/4/28</c:v>
                </c:pt>
                <c:pt idx="12">
                  <c:v>2026/4/29</c:v>
                </c:pt>
                <c:pt idx="13">
                  <c:v>2026/4/30</c:v>
                </c:pt>
                <c:pt idx="14">
                  <c:v>2026/5/1</c:v>
                </c:pt>
                <c:pt idx="15">
                  <c:v>2026/5/4</c:v>
                </c:pt>
                <c:pt idx="16">
                  <c:v>2026/5/5</c:v>
                </c:pt>
                <c:pt idx="17">
                  <c:v>2026/5/6</c:v>
                </c:pt>
                <c:pt idx="18">
                  <c:v>2026/5/7</c:v>
                </c:pt>
                <c:pt idx="19">
                  <c:v>2026/5/8</c:v>
                </c:pt>
                <c:pt idx="20">
                  <c:v>2026/5/11</c:v>
                </c:pt>
                <c:pt idx="21">
                  <c:v>2026/5/12</c:v>
                </c:pt>
                <c:pt idx="22">
                  <c:v>2026/5/13</c:v>
                </c:pt>
                <c:pt idx="23">
                  <c:v>2026/5/14</c:v>
                </c:pt>
                <c:pt idx="24">
                  <c:v>2026/5/15</c:v>
                </c:pt>
                <c:pt idx="25">
                  <c:v>2026/5/18</c:v>
                </c:pt>
                <c:pt idx="26">
                  <c:v>2026/5/19</c:v>
                </c:pt>
                <c:pt idx="27">
                  <c:v>2026/5/20</c:v>
                </c:pt>
                <c:pt idx="28">
                  <c:v>2026/5/21</c:v>
                </c:pt>
                <c:pt idx="29">
                  <c:v>2026/5/22</c:v>
                </c:pt>
                <c:pt idx="30">
                  <c:v>2026/5/25</c:v>
                </c:pt>
                <c:pt idx="31">
                  <c:v>2026/5/26</c:v>
                </c:pt>
                <c:pt idx="32">
                  <c:v>2026/5/27</c:v>
                </c:pt>
                <c:pt idx="33">
                  <c:v>2026/5/28</c:v>
                </c:pt>
                <c:pt idx="34">
                  <c:v>2026/5/29</c:v>
                </c:pt>
                <c:pt idx="35">
                  <c:v>2026/6/1</c:v>
                </c:pt>
                <c:pt idx="36">
                  <c:v>2026/6/2</c:v>
                </c:pt>
                <c:pt idx="37">
                  <c:v>2026/6/3</c:v>
                </c:pt>
                <c:pt idx="38">
                  <c:v>2026/6/4</c:v>
                </c:pt>
                <c:pt idx="39">
                  <c:v>2026/6/5</c:v>
                </c:pt>
                <c:pt idx="40">
                  <c:v>2026/6/8</c:v>
                </c:pt>
                <c:pt idx="41">
                  <c:v>2026/6/9</c:v>
                </c:pt>
                <c:pt idx="42">
                  <c:v>2026/6/10</c:v>
                </c:pt>
                <c:pt idx="43">
                  <c:v>2026/6/11</c:v>
                </c:pt>
                <c:pt idx="44">
                  <c:v>2026/6/12</c:v>
                </c:pt>
                <c:pt idx="45">
                  <c:v>2026/6/15</c:v>
                </c:pt>
                <c:pt idx="46">
                  <c:v>2026/6/16</c:v>
                </c:pt>
                <c:pt idx="47">
                  <c:v>2026/6/17</c:v>
                </c:pt>
                <c:pt idx="48">
                  <c:v>2026/6/18</c:v>
                </c:pt>
                <c:pt idx="49">
                  <c:v>2026/6/19</c:v>
                </c:pt>
                <c:pt idx="50">
                  <c:v>2026/6/22</c:v>
                </c:pt>
                <c:pt idx="51">
                  <c:v>2026/6/23</c:v>
                </c:pt>
                <c:pt idx="52">
                  <c:v>2026/6/24</c:v>
                </c:pt>
                <c:pt idx="53">
                  <c:v>2026/6/25</c:v>
                </c:pt>
                <c:pt idx="54">
                  <c:v>2026/6/26</c:v>
                </c:pt>
                <c:pt idx="55">
                  <c:v>2026/6/29</c:v>
                </c:pt>
                <c:pt idx="56">
                  <c:v>2026/6/30</c:v>
                </c:pt>
                <c:pt idx="57">
                  <c:v>2026/7/1</c:v>
                </c:pt>
                <c:pt idx="58">
                  <c:v>2026/7/2</c:v>
                </c:pt>
                <c:pt idx="59">
                  <c:v>2026/7/3</c:v>
                </c:pt>
                <c:pt idx="60">
                  <c:v>2026/7/6</c:v>
                </c:pt>
                <c:pt idx="61">
                  <c:v>2026/7/7</c:v>
                </c:pt>
                <c:pt idx="62">
                  <c:v>2026/7/8</c:v>
                </c:pt>
                <c:pt idx="63">
                  <c:v>2026/7/9</c:v>
                </c:pt>
                <c:pt idx="64">
                  <c:v>2026/7/10</c:v>
                </c:pt>
                <c:pt idx="65">
                  <c:v>2026/7/13</c:v>
                </c:pt>
                <c:pt idx="66">
                  <c:v>2026/7/14</c:v>
                </c:pt>
                <c:pt idx="67">
                  <c:v>2026/7/15</c:v>
                </c:pt>
                <c:pt idx="68">
                  <c:v>2026/7/16</c:v>
                </c:pt>
                <c:pt idx="69">
                  <c:v>2026/7/17</c:v>
                </c:pt>
              </c:strCache>
            </c:strRef>
          </c:cat>
          <c:val>
            <c:numRef>
              <c:f>HB分析!$M$4:$M$72</c:f>
              <c:numCache>
                <c:formatCode>0.0</c:formatCode>
                <c:ptCount val="69"/>
                <c:pt idx="0">
                  <c:v>50</c:v>
                </c:pt>
                <c:pt idx="1">
                  <c:v>50</c:v>
                </c:pt>
                <c:pt idx="2">
                  <c:v>30.3571428571429</c:v>
                </c:pt>
                <c:pt idx="3">
                  <c:v>25</c:v>
                </c:pt>
                <c:pt idx="4">
                  <c:v>26.712962962963</c:v>
                </c:pt>
                <c:pt idx="5">
                  <c:v>24.212962962963</c:v>
                </c:pt>
                <c:pt idx="6">
                  <c:v>0</c:v>
                </c:pt>
                <c:pt idx="7">
                  <c:v>0</c:v>
                </c:pt>
                <c:pt idx="8">
                  <c:v>3.84517118037813</c:v>
                </c:pt>
                <c:pt idx="9">
                  <c:v>6.90789473684211</c:v>
                </c:pt>
                <c:pt idx="10">
                  <c:v>17.1106557377049</c:v>
                </c:pt>
                <c:pt idx="11">
                  <c:v>25</c:v>
                </c:pt>
                <c:pt idx="12">
                  <c:v>14.3820103537532</c:v>
                </c:pt>
                <c:pt idx="13">
                  <c:v>6.90789473684211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36.8951612903226</c:v>
                </c:pt>
                <c:pt idx="18">
                  <c:v>30.5910700236035</c:v>
                </c:pt>
                <c:pt idx="19">
                  <c:v>33.2661290322581</c:v>
                </c:pt>
                <c:pt idx="20">
                  <c:v>27.6856360316494</c:v>
                </c:pt>
                <c:pt idx="21">
                  <c:v>20.0420977885981</c:v>
                </c:pt>
                <c:pt idx="22">
                  <c:v>22.1698113207547</c:v>
                </c:pt>
                <c:pt idx="23">
                  <c:v>20.4850628930818</c:v>
                </c:pt>
                <c:pt idx="24">
                  <c:v>8.64779874213837</c:v>
                </c:pt>
                <c:pt idx="25">
                  <c:v>28.7642258161126</c:v>
                </c:pt>
                <c:pt idx="26">
                  <c:v>11.7026055705301</c:v>
                </c:pt>
                <c:pt idx="27">
                  <c:v>29.211590296496</c:v>
                </c:pt>
                <c:pt idx="28">
                  <c:v>25.7449835280024</c:v>
                </c:pt>
                <c:pt idx="29">
                  <c:v>25.9995507637017</c:v>
                </c:pt>
                <c:pt idx="30">
                  <c:v>25.0973345312968</c:v>
                </c:pt>
                <c:pt idx="31">
                  <c:v>21.2357741838874</c:v>
                </c:pt>
                <c:pt idx="32">
                  <c:v>18.6807427373465</c:v>
                </c:pt>
                <c:pt idx="33">
                  <c:v>36.1017520215633</c:v>
                </c:pt>
                <c:pt idx="34">
                  <c:v>11.0792902066487</c:v>
                </c:pt>
                <c:pt idx="35">
                  <c:v>1.57232704402516</c:v>
                </c:pt>
                <c:pt idx="36">
                  <c:v>14.5204159121444</c:v>
                </c:pt>
                <c:pt idx="37">
                  <c:v>14.5345327803415</c:v>
                </c:pt>
                <c:pt idx="38">
                  <c:v>26.7782386042798</c:v>
                </c:pt>
                <c:pt idx="39">
                  <c:v>14.0866873065015</c:v>
                </c:pt>
                <c:pt idx="40">
                  <c:v>22.609219126247</c:v>
                </c:pt>
                <c:pt idx="41">
                  <c:v>20.0120399036808</c:v>
                </c:pt>
                <c:pt idx="42">
                  <c:v>8.74613003095975</c:v>
                </c:pt>
                <c:pt idx="43">
                  <c:v>20.7337989023361</c:v>
                </c:pt>
                <c:pt idx="44">
                  <c:v>30.4157578103012</c:v>
                </c:pt>
                <c:pt idx="45">
                  <c:v>19.7276069518717</c:v>
                </c:pt>
                <c:pt idx="46">
                  <c:v>28.0893786940614</c:v>
                </c:pt>
                <c:pt idx="47">
                  <c:v>33.3204334365325</c:v>
                </c:pt>
                <c:pt idx="48">
                  <c:v>31.5156206023079</c:v>
                </c:pt>
                <c:pt idx="49">
                  <c:v>30.2108253588517</c:v>
                </c:pt>
                <c:pt idx="50">
                  <c:v>21.7954017731495</c:v>
                </c:pt>
                <c:pt idx="51">
                  <c:v>18.3836722488038</c:v>
                </c:pt>
                <c:pt idx="52">
                  <c:v>26.47762454264</c:v>
                </c:pt>
                <c:pt idx="53">
                  <c:v>21.6379643962848</c:v>
                </c:pt>
                <c:pt idx="54">
                  <c:v>26.2054074021953</c:v>
                </c:pt>
                <c:pt idx="55">
                  <c:v>29.7275189980298</c:v>
                </c:pt>
                <c:pt idx="56">
                  <c:v>31.4830776808331</c:v>
                </c:pt>
                <c:pt idx="57">
                  <c:v>33.6647727272727</c:v>
                </c:pt>
                <c:pt idx="58">
                  <c:v>36.1390854654328</c:v>
                </c:pt>
                <c:pt idx="59">
                  <c:v>38.6363636363636</c:v>
                </c:pt>
                <c:pt idx="60">
                  <c:v>40.1938502673797</c:v>
                </c:pt>
                <c:pt idx="61">
                  <c:v>34.0123663101604</c:v>
                </c:pt>
                <c:pt idx="62">
                  <c:v>27.7623663101604</c:v>
                </c:pt>
                <c:pt idx="63">
                  <c:v>30.3977272727273</c:v>
                </c:pt>
                <c:pt idx="64">
                  <c:v>31.245417888563</c:v>
                </c:pt>
                <c:pt idx="65">
                  <c:v>29.967008797654</c:v>
                </c:pt>
                <c:pt idx="66">
                  <c:v>34.9385997067449</c:v>
                </c:pt>
                <c:pt idx="67">
                  <c:v>32.3726173020528</c:v>
                </c:pt>
                <c:pt idx="68">
                  <c:v>24.6975806451613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HB分析!N3</c:f>
              <c:strCache>
                <c:ptCount val="1"/>
                <c:pt idx="0">
                  <c:v>25.0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HB分析!$A$3:$A$72</c:f>
              <c:strCache>
                <c:ptCount val="70"/>
                <c:pt idx="0">
                  <c:v>2026/4/13</c:v>
                </c:pt>
                <c:pt idx="1">
                  <c:v>2026/4/14</c:v>
                </c:pt>
                <c:pt idx="2">
                  <c:v>2026/4/15</c:v>
                </c:pt>
                <c:pt idx="3">
                  <c:v>2026/4/16</c:v>
                </c:pt>
                <c:pt idx="4">
                  <c:v>2026/4/17</c:v>
                </c:pt>
                <c:pt idx="5">
                  <c:v>2026/4/20</c:v>
                </c:pt>
                <c:pt idx="6">
                  <c:v>2026/4/21</c:v>
                </c:pt>
                <c:pt idx="7">
                  <c:v>2026/4/22</c:v>
                </c:pt>
                <c:pt idx="8">
                  <c:v>2026/4/23</c:v>
                </c:pt>
                <c:pt idx="9">
                  <c:v>2026/4/24</c:v>
                </c:pt>
                <c:pt idx="10">
                  <c:v>2026/4/27</c:v>
                </c:pt>
                <c:pt idx="11">
                  <c:v>2026/4/28</c:v>
                </c:pt>
                <c:pt idx="12">
                  <c:v>2026/4/29</c:v>
                </c:pt>
                <c:pt idx="13">
                  <c:v>2026/4/30</c:v>
                </c:pt>
                <c:pt idx="14">
                  <c:v>2026/5/1</c:v>
                </c:pt>
                <c:pt idx="15">
                  <c:v>2026/5/4</c:v>
                </c:pt>
                <c:pt idx="16">
                  <c:v>2026/5/5</c:v>
                </c:pt>
                <c:pt idx="17">
                  <c:v>2026/5/6</c:v>
                </c:pt>
                <c:pt idx="18">
                  <c:v>2026/5/7</c:v>
                </c:pt>
                <c:pt idx="19">
                  <c:v>2026/5/8</c:v>
                </c:pt>
                <c:pt idx="20">
                  <c:v>2026/5/11</c:v>
                </c:pt>
                <c:pt idx="21">
                  <c:v>2026/5/12</c:v>
                </c:pt>
                <c:pt idx="22">
                  <c:v>2026/5/13</c:v>
                </c:pt>
                <c:pt idx="23">
                  <c:v>2026/5/14</c:v>
                </c:pt>
                <c:pt idx="24">
                  <c:v>2026/5/15</c:v>
                </c:pt>
                <c:pt idx="25">
                  <c:v>2026/5/18</c:v>
                </c:pt>
                <c:pt idx="26">
                  <c:v>2026/5/19</c:v>
                </c:pt>
                <c:pt idx="27">
                  <c:v>2026/5/20</c:v>
                </c:pt>
                <c:pt idx="28">
                  <c:v>2026/5/21</c:v>
                </c:pt>
                <c:pt idx="29">
                  <c:v>2026/5/22</c:v>
                </c:pt>
                <c:pt idx="30">
                  <c:v>2026/5/25</c:v>
                </c:pt>
                <c:pt idx="31">
                  <c:v>2026/5/26</c:v>
                </c:pt>
                <c:pt idx="32">
                  <c:v>2026/5/27</c:v>
                </c:pt>
                <c:pt idx="33">
                  <c:v>2026/5/28</c:v>
                </c:pt>
                <c:pt idx="34">
                  <c:v>2026/5/29</c:v>
                </c:pt>
                <c:pt idx="35">
                  <c:v>2026/6/1</c:v>
                </c:pt>
                <c:pt idx="36">
                  <c:v>2026/6/2</c:v>
                </c:pt>
                <c:pt idx="37">
                  <c:v>2026/6/3</c:v>
                </c:pt>
                <c:pt idx="38">
                  <c:v>2026/6/4</c:v>
                </c:pt>
                <c:pt idx="39">
                  <c:v>2026/6/5</c:v>
                </c:pt>
                <c:pt idx="40">
                  <c:v>2026/6/8</c:v>
                </c:pt>
                <c:pt idx="41">
                  <c:v>2026/6/9</c:v>
                </c:pt>
                <c:pt idx="42">
                  <c:v>2026/6/10</c:v>
                </c:pt>
                <c:pt idx="43">
                  <c:v>2026/6/11</c:v>
                </c:pt>
                <c:pt idx="44">
                  <c:v>2026/6/12</c:v>
                </c:pt>
                <c:pt idx="45">
                  <c:v>2026/6/15</c:v>
                </c:pt>
                <c:pt idx="46">
                  <c:v>2026/6/16</c:v>
                </c:pt>
                <c:pt idx="47">
                  <c:v>2026/6/17</c:v>
                </c:pt>
                <c:pt idx="48">
                  <c:v>2026/6/18</c:v>
                </c:pt>
                <c:pt idx="49">
                  <c:v>2026/6/19</c:v>
                </c:pt>
                <c:pt idx="50">
                  <c:v>2026/6/22</c:v>
                </c:pt>
                <c:pt idx="51">
                  <c:v>2026/6/23</c:v>
                </c:pt>
                <c:pt idx="52">
                  <c:v>2026/6/24</c:v>
                </c:pt>
                <c:pt idx="53">
                  <c:v>2026/6/25</c:v>
                </c:pt>
                <c:pt idx="54">
                  <c:v>2026/6/26</c:v>
                </c:pt>
                <c:pt idx="55">
                  <c:v>2026/6/29</c:v>
                </c:pt>
                <c:pt idx="56">
                  <c:v>2026/6/30</c:v>
                </c:pt>
                <c:pt idx="57">
                  <c:v>2026/7/1</c:v>
                </c:pt>
                <c:pt idx="58">
                  <c:v>2026/7/2</c:v>
                </c:pt>
                <c:pt idx="59">
                  <c:v>2026/7/3</c:v>
                </c:pt>
                <c:pt idx="60">
                  <c:v>2026/7/6</c:v>
                </c:pt>
                <c:pt idx="61">
                  <c:v>2026/7/7</c:v>
                </c:pt>
                <c:pt idx="62">
                  <c:v>2026/7/8</c:v>
                </c:pt>
                <c:pt idx="63">
                  <c:v>2026/7/9</c:v>
                </c:pt>
                <c:pt idx="64">
                  <c:v>2026/7/10</c:v>
                </c:pt>
                <c:pt idx="65">
                  <c:v>2026/7/13</c:v>
                </c:pt>
                <c:pt idx="66">
                  <c:v>2026/7/14</c:v>
                </c:pt>
                <c:pt idx="67">
                  <c:v>2026/7/15</c:v>
                </c:pt>
                <c:pt idx="68">
                  <c:v>2026/7/16</c:v>
                </c:pt>
                <c:pt idx="69">
                  <c:v>2026/7/17</c:v>
                </c:pt>
              </c:strCache>
            </c:strRef>
          </c:cat>
          <c:val>
            <c:numRef>
              <c:f>HB分析!$N$4:$N$72</c:f>
              <c:numCache>
                <c:formatCode>0.0</c:formatCode>
                <c:ptCount val="69"/>
                <c:pt idx="0">
                  <c:v>0</c:v>
                </c:pt>
                <c:pt idx="1">
                  <c:v>0</c:v>
                </c:pt>
                <c:pt idx="2">
                  <c:v>19.6428571428571</c:v>
                </c:pt>
                <c:pt idx="3">
                  <c:v>25</c:v>
                </c:pt>
                <c:pt idx="4">
                  <c:v>23.287037037037</c:v>
                </c:pt>
                <c:pt idx="5">
                  <c:v>25.787037037037</c:v>
                </c:pt>
                <c:pt idx="6">
                  <c:v>50</c:v>
                </c:pt>
                <c:pt idx="7">
                  <c:v>50</c:v>
                </c:pt>
                <c:pt idx="8">
                  <c:v>46.1548288196219</c:v>
                </c:pt>
                <c:pt idx="9">
                  <c:v>43.0921052631579</c:v>
                </c:pt>
                <c:pt idx="10">
                  <c:v>32.8893442622951</c:v>
                </c:pt>
                <c:pt idx="11">
                  <c:v>25</c:v>
                </c:pt>
                <c:pt idx="12">
                  <c:v>35.6179896462468</c:v>
                </c:pt>
                <c:pt idx="13">
                  <c:v>43.0921052631579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13.1048387096774</c:v>
                </c:pt>
                <c:pt idx="18">
                  <c:v>19.4089299763965</c:v>
                </c:pt>
                <c:pt idx="19">
                  <c:v>16.7338709677419</c:v>
                </c:pt>
                <c:pt idx="20">
                  <c:v>22.3143639683506</c:v>
                </c:pt>
                <c:pt idx="21">
                  <c:v>29.9579022114019</c:v>
                </c:pt>
                <c:pt idx="22">
                  <c:v>27.8301886792453</c:v>
                </c:pt>
                <c:pt idx="23">
                  <c:v>29.5149371069182</c:v>
                </c:pt>
                <c:pt idx="24">
                  <c:v>41.3522012578616</c:v>
                </c:pt>
                <c:pt idx="25">
                  <c:v>21.2357741838874</c:v>
                </c:pt>
                <c:pt idx="26">
                  <c:v>38.2973944294699</c:v>
                </c:pt>
                <c:pt idx="27">
                  <c:v>20.788409703504</c:v>
                </c:pt>
                <c:pt idx="28">
                  <c:v>24.2550164719976</c:v>
                </c:pt>
                <c:pt idx="29">
                  <c:v>24.0004492362983</c:v>
                </c:pt>
                <c:pt idx="30">
                  <c:v>24.9026654687032</c:v>
                </c:pt>
                <c:pt idx="31">
                  <c:v>28.7642258161126</c:v>
                </c:pt>
                <c:pt idx="32">
                  <c:v>31.3192572626535</c:v>
                </c:pt>
                <c:pt idx="33">
                  <c:v>13.8982479784367</c:v>
                </c:pt>
                <c:pt idx="34">
                  <c:v>38.9207097933513</c:v>
                </c:pt>
                <c:pt idx="35">
                  <c:v>48.4276729559748</c:v>
                </c:pt>
                <c:pt idx="36">
                  <c:v>35.4795840878556</c:v>
                </c:pt>
                <c:pt idx="37">
                  <c:v>35.4654672196585</c:v>
                </c:pt>
                <c:pt idx="38">
                  <c:v>23.2217613957202</c:v>
                </c:pt>
                <c:pt idx="39">
                  <c:v>35.9133126934985</c:v>
                </c:pt>
                <c:pt idx="40">
                  <c:v>27.390780873753</c:v>
                </c:pt>
                <c:pt idx="41">
                  <c:v>29.9879600963192</c:v>
                </c:pt>
                <c:pt idx="42">
                  <c:v>41.2538699690403</c:v>
                </c:pt>
                <c:pt idx="43">
                  <c:v>29.2662010976639</c:v>
                </c:pt>
                <c:pt idx="44">
                  <c:v>19.5842421896989</c:v>
                </c:pt>
                <c:pt idx="45">
                  <c:v>30.2723930481283</c:v>
                </c:pt>
                <c:pt idx="46">
                  <c:v>21.9106213059386</c:v>
                </c:pt>
                <c:pt idx="47">
                  <c:v>16.6795665634675</c:v>
                </c:pt>
                <c:pt idx="48">
                  <c:v>18.4843793976921</c:v>
                </c:pt>
                <c:pt idx="49">
                  <c:v>19.7891746411483</c:v>
                </c:pt>
                <c:pt idx="50">
                  <c:v>28.2045982268506</c:v>
                </c:pt>
                <c:pt idx="51">
                  <c:v>31.6163277511962</c:v>
                </c:pt>
                <c:pt idx="52">
                  <c:v>23.52237545736</c:v>
                </c:pt>
                <c:pt idx="53">
                  <c:v>28.3620356037152</c:v>
                </c:pt>
                <c:pt idx="54">
                  <c:v>23.7945925978047</c:v>
                </c:pt>
                <c:pt idx="55">
                  <c:v>20.2724810019702</c:v>
                </c:pt>
                <c:pt idx="56">
                  <c:v>18.5169223191669</c:v>
                </c:pt>
                <c:pt idx="57">
                  <c:v>16.3352272727273</c:v>
                </c:pt>
                <c:pt idx="58">
                  <c:v>13.8609145345672</c:v>
                </c:pt>
                <c:pt idx="59">
                  <c:v>11.3636363636364</c:v>
                </c:pt>
                <c:pt idx="60">
                  <c:v>9.80614973262032</c:v>
                </c:pt>
                <c:pt idx="61">
                  <c:v>15.9876336898396</c:v>
                </c:pt>
                <c:pt idx="62">
                  <c:v>22.2376336898396</c:v>
                </c:pt>
                <c:pt idx="63">
                  <c:v>19.6022727272727</c:v>
                </c:pt>
                <c:pt idx="64">
                  <c:v>18.754582111437</c:v>
                </c:pt>
                <c:pt idx="65">
                  <c:v>20.032991202346</c:v>
                </c:pt>
                <c:pt idx="66">
                  <c:v>15.0614002932551</c:v>
                </c:pt>
                <c:pt idx="67">
                  <c:v>17.6273826979472</c:v>
                </c:pt>
                <c:pt idx="68">
                  <c:v>25.3024193548387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6277328"/>
        <c:axId val="39890500"/>
      </c:lineChart>
      <c:catAx>
        <c:axId val="9627732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/m/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890500"/>
        <c:crosses val="autoZero"/>
        <c:auto val="1"/>
        <c:lblAlgn val="ctr"/>
        <c:lblOffset val="100"/>
        <c:noMultiLvlLbl val="0"/>
      </c:catAx>
      <c:valAx>
        <c:axId val="398905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スコア(0-50)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2773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バックテスト 累積損益推移(pt)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バックテスト!F3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バックテスト!$A$3:$A$72</c:f>
              <c:strCache>
                <c:ptCount val="70"/>
                <c:pt idx="0">
                  <c:v>2026/4/13</c:v>
                </c:pt>
                <c:pt idx="1">
                  <c:v>2026/4/14</c:v>
                </c:pt>
                <c:pt idx="2">
                  <c:v>2026/4/15</c:v>
                </c:pt>
                <c:pt idx="3">
                  <c:v>2026/4/16</c:v>
                </c:pt>
                <c:pt idx="4">
                  <c:v>2026/4/17</c:v>
                </c:pt>
                <c:pt idx="5">
                  <c:v>2026/4/20</c:v>
                </c:pt>
                <c:pt idx="6">
                  <c:v>2026/4/21</c:v>
                </c:pt>
                <c:pt idx="7">
                  <c:v>2026/4/22</c:v>
                </c:pt>
                <c:pt idx="8">
                  <c:v>2026/4/23</c:v>
                </c:pt>
                <c:pt idx="9">
                  <c:v>2026/4/24</c:v>
                </c:pt>
                <c:pt idx="10">
                  <c:v>2026/4/27</c:v>
                </c:pt>
                <c:pt idx="11">
                  <c:v>2026/4/28</c:v>
                </c:pt>
                <c:pt idx="12">
                  <c:v>2026/4/29</c:v>
                </c:pt>
                <c:pt idx="13">
                  <c:v>2026/4/30</c:v>
                </c:pt>
                <c:pt idx="14">
                  <c:v>2026/5/1</c:v>
                </c:pt>
                <c:pt idx="15">
                  <c:v>2026/5/4</c:v>
                </c:pt>
                <c:pt idx="16">
                  <c:v>2026/5/5</c:v>
                </c:pt>
                <c:pt idx="17">
                  <c:v>2026/5/6</c:v>
                </c:pt>
                <c:pt idx="18">
                  <c:v>2026/5/7</c:v>
                </c:pt>
                <c:pt idx="19">
                  <c:v>2026/5/8</c:v>
                </c:pt>
                <c:pt idx="20">
                  <c:v>2026/5/11</c:v>
                </c:pt>
                <c:pt idx="21">
                  <c:v>2026/5/12</c:v>
                </c:pt>
                <c:pt idx="22">
                  <c:v>2026/5/13</c:v>
                </c:pt>
                <c:pt idx="23">
                  <c:v>2026/5/14</c:v>
                </c:pt>
                <c:pt idx="24">
                  <c:v>2026/5/15</c:v>
                </c:pt>
                <c:pt idx="25">
                  <c:v>2026/5/18</c:v>
                </c:pt>
                <c:pt idx="26">
                  <c:v>2026/5/19</c:v>
                </c:pt>
                <c:pt idx="27">
                  <c:v>2026/5/20</c:v>
                </c:pt>
                <c:pt idx="28">
                  <c:v>2026/5/21</c:v>
                </c:pt>
                <c:pt idx="29">
                  <c:v>2026/5/22</c:v>
                </c:pt>
                <c:pt idx="30">
                  <c:v>2026/5/25</c:v>
                </c:pt>
                <c:pt idx="31">
                  <c:v>2026/5/26</c:v>
                </c:pt>
                <c:pt idx="32">
                  <c:v>2026/5/27</c:v>
                </c:pt>
                <c:pt idx="33">
                  <c:v>2026/5/28</c:v>
                </c:pt>
                <c:pt idx="34">
                  <c:v>2026/5/29</c:v>
                </c:pt>
                <c:pt idx="35">
                  <c:v>2026/6/1</c:v>
                </c:pt>
                <c:pt idx="36">
                  <c:v>2026/6/2</c:v>
                </c:pt>
                <c:pt idx="37">
                  <c:v>2026/6/3</c:v>
                </c:pt>
                <c:pt idx="38">
                  <c:v>2026/6/4</c:v>
                </c:pt>
                <c:pt idx="39">
                  <c:v>2026/6/5</c:v>
                </c:pt>
                <c:pt idx="40">
                  <c:v>2026/6/8</c:v>
                </c:pt>
                <c:pt idx="41">
                  <c:v>2026/6/9</c:v>
                </c:pt>
                <c:pt idx="42">
                  <c:v>2026/6/10</c:v>
                </c:pt>
                <c:pt idx="43">
                  <c:v>2026/6/11</c:v>
                </c:pt>
                <c:pt idx="44">
                  <c:v>2026/6/12</c:v>
                </c:pt>
                <c:pt idx="45">
                  <c:v>2026/6/15</c:v>
                </c:pt>
                <c:pt idx="46">
                  <c:v>2026/6/16</c:v>
                </c:pt>
                <c:pt idx="47">
                  <c:v>2026/6/17</c:v>
                </c:pt>
                <c:pt idx="48">
                  <c:v>2026/6/18</c:v>
                </c:pt>
                <c:pt idx="49">
                  <c:v>2026/6/19</c:v>
                </c:pt>
                <c:pt idx="50">
                  <c:v>2026/6/22</c:v>
                </c:pt>
                <c:pt idx="51">
                  <c:v>2026/6/23</c:v>
                </c:pt>
                <c:pt idx="52">
                  <c:v>2026/6/24</c:v>
                </c:pt>
                <c:pt idx="53">
                  <c:v>2026/6/25</c:v>
                </c:pt>
                <c:pt idx="54">
                  <c:v>2026/6/26</c:v>
                </c:pt>
                <c:pt idx="55">
                  <c:v>2026/6/29</c:v>
                </c:pt>
                <c:pt idx="56">
                  <c:v>2026/6/30</c:v>
                </c:pt>
                <c:pt idx="57">
                  <c:v>2026/7/1</c:v>
                </c:pt>
                <c:pt idx="58">
                  <c:v>2026/7/2</c:v>
                </c:pt>
                <c:pt idx="59">
                  <c:v>2026/7/3</c:v>
                </c:pt>
                <c:pt idx="60">
                  <c:v>2026/7/6</c:v>
                </c:pt>
                <c:pt idx="61">
                  <c:v>2026/7/7</c:v>
                </c:pt>
                <c:pt idx="62">
                  <c:v>2026/7/8</c:v>
                </c:pt>
                <c:pt idx="63">
                  <c:v>2026/7/9</c:v>
                </c:pt>
                <c:pt idx="64">
                  <c:v>2026/7/10</c:v>
                </c:pt>
                <c:pt idx="65">
                  <c:v>2026/7/13</c:v>
                </c:pt>
                <c:pt idx="66">
                  <c:v>2026/7/14</c:v>
                </c:pt>
                <c:pt idx="67">
                  <c:v>2026/7/15</c:v>
                </c:pt>
                <c:pt idx="68">
                  <c:v>2026/7/16</c:v>
                </c:pt>
                <c:pt idx="69">
                  <c:v>2026/7/17</c:v>
                </c:pt>
              </c:strCache>
            </c:strRef>
          </c:cat>
          <c:val>
            <c:numRef>
              <c:f>バックテスト!$F$4:$F$72</c:f>
              <c:numCache>
                <c:formatCode>#,##0</c:formatCode>
                <c:ptCount val="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-1680</c:v>
                </c:pt>
                <c:pt idx="24">
                  <c:v>-1680</c:v>
                </c:pt>
                <c:pt idx="25">
                  <c:v>-1680</c:v>
                </c:pt>
                <c:pt idx="26">
                  <c:v>-1680</c:v>
                </c:pt>
                <c:pt idx="27">
                  <c:v>-1680</c:v>
                </c:pt>
                <c:pt idx="28">
                  <c:v>-1680</c:v>
                </c:pt>
                <c:pt idx="29">
                  <c:v>-1680</c:v>
                </c:pt>
                <c:pt idx="30">
                  <c:v>-2650</c:v>
                </c:pt>
                <c:pt idx="31">
                  <c:v>-6250</c:v>
                </c:pt>
                <c:pt idx="32">
                  <c:v>-6250</c:v>
                </c:pt>
                <c:pt idx="33">
                  <c:v>-6250</c:v>
                </c:pt>
                <c:pt idx="34">
                  <c:v>-3000</c:v>
                </c:pt>
                <c:pt idx="35">
                  <c:v>-3000</c:v>
                </c:pt>
                <c:pt idx="36">
                  <c:v>-3000</c:v>
                </c:pt>
                <c:pt idx="37">
                  <c:v>-3000</c:v>
                </c:pt>
                <c:pt idx="38">
                  <c:v>-3000</c:v>
                </c:pt>
                <c:pt idx="39">
                  <c:v>-3000</c:v>
                </c:pt>
                <c:pt idx="40">
                  <c:v>-3000</c:v>
                </c:pt>
                <c:pt idx="41">
                  <c:v>-3000</c:v>
                </c:pt>
                <c:pt idx="42">
                  <c:v>-3000</c:v>
                </c:pt>
                <c:pt idx="43">
                  <c:v>-3000</c:v>
                </c:pt>
                <c:pt idx="44">
                  <c:v>-3000</c:v>
                </c:pt>
                <c:pt idx="45">
                  <c:v>-3000</c:v>
                </c:pt>
                <c:pt idx="46">
                  <c:v>-3000</c:v>
                </c:pt>
                <c:pt idx="47">
                  <c:v>-3000</c:v>
                </c:pt>
                <c:pt idx="48">
                  <c:v>-3000</c:v>
                </c:pt>
                <c:pt idx="49">
                  <c:v>210</c:v>
                </c:pt>
                <c:pt idx="50">
                  <c:v>210</c:v>
                </c:pt>
                <c:pt idx="51">
                  <c:v>210</c:v>
                </c:pt>
                <c:pt idx="52">
                  <c:v>210</c:v>
                </c:pt>
                <c:pt idx="53">
                  <c:v>210</c:v>
                </c:pt>
                <c:pt idx="54">
                  <c:v>210</c:v>
                </c:pt>
                <c:pt idx="55">
                  <c:v>210</c:v>
                </c:pt>
                <c:pt idx="56">
                  <c:v>210</c:v>
                </c:pt>
                <c:pt idx="57">
                  <c:v>210</c:v>
                </c:pt>
                <c:pt idx="58">
                  <c:v>210</c:v>
                </c:pt>
                <c:pt idx="59">
                  <c:v>210</c:v>
                </c:pt>
                <c:pt idx="60">
                  <c:v>210</c:v>
                </c:pt>
                <c:pt idx="61">
                  <c:v>210</c:v>
                </c:pt>
                <c:pt idx="62">
                  <c:v>210</c:v>
                </c:pt>
                <c:pt idx="63">
                  <c:v>210</c:v>
                </c:pt>
                <c:pt idx="64">
                  <c:v>210</c:v>
                </c:pt>
                <c:pt idx="65">
                  <c:v>210</c:v>
                </c:pt>
                <c:pt idx="66">
                  <c:v>210</c:v>
                </c:pt>
                <c:pt idx="67">
                  <c:v>210</c:v>
                </c:pt>
                <c:pt idx="68">
                  <c:v>210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48921"/>
        <c:axId val="72745990"/>
      </c:lineChart>
      <c:catAx>
        <c:axId val="8489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日付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/m/d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745990"/>
        <c:crosses val="autoZero"/>
        <c:auto val="1"/>
        <c:lblAlgn val="ctr"/>
        <c:lblOffset val="100"/>
        <c:noMultiLvlLbl val="0"/>
      </c:catAx>
      <c:valAx>
        <c:axId val="727459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累積損益(pt)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89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134640</xdr:rowOff>
    </xdr:from>
    <xdr:to>
      <xdr:col>10</xdr:col>
      <xdr:colOff>331560</xdr:colOff>
      <xdr:row>18</xdr:row>
      <xdr:rowOff>135720</xdr:rowOff>
    </xdr:to>
    <xdr:graphicFrame>
      <xdr:nvGraphicFramePr>
        <xdr:cNvPr id="0" name="Chart 1"/>
        <xdr:cNvGraphicFramePr/>
      </xdr:nvGraphicFramePr>
      <xdr:xfrm>
        <a:off x="0" y="3808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19</xdr:row>
      <xdr:rowOff>134640</xdr:rowOff>
    </xdr:from>
    <xdr:to>
      <xdr:col>10</xdr:col>
      <xdr:colOff>331560</xdr:colOff>
      <xdr:row>36</xdr:row>
      <xdr:rowOff>135720</xdr:rowOff>
    </xdr:to>
    <xdr:graphicFrame>
      <xdr:nvGraphicFramePr>
        <xdr:cNvPr id="1" name="Chart 2"/>
        <xdr:cNvGraphicFramePr/>
      </xdr:nvGraphicFramePr>
      <xdr:xfrm>
        <a:off x="0" y="38098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37</xdr:row>
      <xdr:rowOff>134640</xdr:rowOff>
    </xdr:from>
    <xdr:to>
      <xdr:col>10</xdr:col>
      <xdr:colOff>331560</xdr:colOff>
      <xdr:row>54</xdr:row>
      <xdr:rowOff>135720</xdr:rowOff>
    </xdr:to>
    <xdr:graphicFrame>
      <xdr:nvGraphicFramePr>
        <xdr:cNvPr id="2" name="Chart 3"/>
        <xdr:cNvGraphicFramePr/>
      </xdr:nvGraphicFramePr>
      <xdr:xfrm>
        <a:off x="0" y="72388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1" min="2" style="0" width="9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27.75" hidden="false" customHeight="true" outlineLevel="0" collapsed="false">
      <c r="A3" s="3" t="n">
        <v>46125</v>
      </c>
      <c r="B3" s="4" t="n">
        <v>73</v>
      </c>
      <c r="C3" s="4" t="n">
        <v>49</v>
      </c>
      <c r="D3" s="4" t="n">
        <v>56200</v>
      </c>
      <c r="E3" s="4" t="n">
        <v>56870</v>
      </c>
      <c r="F3" s="4" t="n">
        <v>56150</v>
      </c>
      <c r="G3" s="4" t="n">
        <v>56580</v>
      </c>
      <c r="H3" s="4" t="n">
        <v>56710</v>
      </c>
      <c r="I3" s="4" t="n">
        <v>57750</v>
      </c>
      <c r="J3" s="4" t="n">
        <v>56410</v>
      </c>
      <c r="K3" s="4" t="n">
        <v>57700</v>
      </c>
    </row>
    <row r="4" customFormat="false" ht="15" hidden="false" customHeight="false" outlineLevel="0" collapsed="false">
      <c r="A4" s="5" t="n">
        <v>46126</v>
      </c>
      <c r="B4" s="6" t="n">
        <v>94</v>
      </c>
      <c r="C4" s="6" t="n">
        <v>39</v>
      </c>
      <c r="D4" s="6" t="n">
        <v>57670</v>
      </c>
      <c r="E4" s="6" t="n">
        <v>58090</v>
      </c>
      <c r="F4" s="6" t="n">
        <v>57460</v>
      </c>
      <c r="G4" s="6" t="n">
        <v>58030</v>
      </c>
      <c r="H4" s="6" t="n">
        <v>58240</v>
      </c>
      <c r="I4" s="6" t="n">
        <v>58840</v>
      </c>
      <c r="J4" s="6" t="n">
        <v>57910</v>
      </c>
      <c r="K4" s="6" t="n">
        <v>58830</v>
      </c>
    </row>
    <row r="5" customFormat="false" ht="15" hidden="false" customHeight="false" outlineLevel="0" collapsed="false">
      <c r="A5" s="5" t="n">
        <v>46127</v>
      </c>
      <c r="B5" s="6" t="n">
        <v>115</v>
      </c>
      <c r="C5" s="6" t="n">
        <v>38</v>
      </c>
      <c r="D5" s="6" t="n">
        <v>58700</v>
      </c>
      <c r="E5" s="6" t="n">
        <v>58900</v>
      </c>
      <c r="F5" s="6" t="n">
        <v>58140</v>
      </c>
      <c r="G5" s="6" t="n">
        <v>58360</v>
      </c>
      <c r="H5" s="6" t="n">
        <v>58420</v>
      </c>
      <c r="I5" s="6" t="n">
        <v>58630</v>
      </c>
      <c r="J5" s="6" t="n">
        <v>58150</v>
      </c>
      <c r="K5" s="6" t="n">
        <v>58590</v>
      </c>
    </row>
    <row r="6" customFormat="false" ht="15" hidden="false" customHeight="false" outlineLevel="0" collapsed="false">
      <c r="A6" s="5" t="n">
        <v>46128</v>
      </c>
      <c r="B6" s="6" t="n">
        <v>82</v>
      </c>
      <c r="C6" s="6" t="n">
        <v>28</v>
      </c>
      <c r="D6" s="6" t="n">
        <v>58680</v>
      </c>
      <c r="E6" s="6" t="n">
        <v>59800</v>
      </c>
      <c r="F6" s="6" t="n">
        <v>58580</v>
      </c>
      <c r="G6" s="6" t="n">
        <v>59590</v>
      </c>
      <c r="H6" s="6" t="n">
        <v>59480</v>
      </c>
      <c r="I6" s="6" t="n">
        <v>59490</v>
      </c>
      <c r="J6" s="6" t="n">
        <v>58940</v>
      </c>
      <c r="K6" s="6" t="n">
        <v>59390</v>
      </c>
    </row>
    <row r="7" customFormat="false" ht="15" hidden="false" customHeight="false" outlineLevel="0" collapsed="false">
      <c r="A7" s="5" t="n">
        <v>46129</v>
      </c>
      <c r="B7" s="6" t="n">
        <v>55</v>
      </c>
      <c r="C7" s="6" t="n">
        <v>22</v>
      </c>
      <c r="D7" s="6" t="n">
        <v>59380</v>
      </c>
      <c r="E7" s="6" t="n">
        <v>59480</v>
      </c>
      <c r="F7" s="6" t="n">
        <v>58590</v>
      </c>
      <c r="G7" s="6" t="n">
        <v>58800</v>
      </c>
      <c r="H7" s="6" t="n">
        <v>58910</v>
      </c>
      <c r="I7" s="6" t="n">
        <v>60130</v>
      </c>
      <c r="J7" s="6" t="n">
        <v>58780</v>
      </c>
      <c r="K7" s="6" t="n">
        <v>59690</v>
      </c>
    </row>
    <row r="8" customFormat="false" ht="15" hidden="false" customHeight="false" outlineLevel="0" collapsed="false">
      <c r="A8" s="5" t="n">
        <v>46132</v>
      </c>
      <c r="B8" s="6" t="n">
        <v>68</v>
      </c>
      <c r="C8" s="6" t="n">
        <v>26</v>
      </c>
      <c r="D8" s="6" t="n">
        <v>58990</v>
      </c>
      <c r="E8" s="6" t="n">
        <v>59260</v>
      </c>
      <c r="F8" s="6" t="n">
        <v>58830</v>
      </c>
      <c r="G8" s="6" t="n">
        <v>58900</v>
      </c>
      <c r="H8" s="6" t="n">
        <v>58810</v>
      </c>
      <c r="I8" s="6" t="n">
        <v>59370</v>
      </c>
      <c r="J8" s="6" t="n">
        <v>58700</v>
      </c>
      <c r="K8" s="6" t="n">
        <v>59320</v>
      </c>
    </row>
    <row r="9" customFormat="false" ht="15" hidden="false" customHeight="false" outlineLevel="0" collapsed="false">
      <c r="A9" s="5" t="n">
        <v>46133</v>
      </c>
      <c r="B9" s="6" t="n">
        <v>82</v>
      </c>
      <c r="C9" s="6" t="n">
        <v>35</v>
      </c>
      <c r="D9" s="6" t="n">
        <v>59270</v>
      </c>
      <c r="E9" s="6" t="n">
        <v>59710</v>
      </c>
      <c r="F9" s="6" t="n">
        <v>59100</v>
      </c>
      <c r="G9" s="6" t="n">
        <v>59340</v>
      </c>
      <c r="H9" s="6" t="n">
        <v>59390</v>
      </c>
      <c r="I9" s="6" t="n">
        <v>59450</v>
      </c>
      <c r="J9" s="6" t="n">
        <v>58340</v>
      </c>
      <c r="K9" s="6" t="n">
        <v>58850</v>
      </c>
    </row>
    <row r="10" customFormat="false" ht="15" hidden="false" customHeight="false" outlineLevel="0" collapsed="false">
      <c r="A10" s="5" t="n">
        <v>46134</v>
      </c>
      <c r="B10" s="6" t="n">
        <v>48</v>
      </c>
      <c r="C10" s="6" t="n">
        <v>51</v>
      </c>
      <c r="D10" s="6" t="n">
        <v>58960</v>
      </c>
      <c r="E10" s="6" t="n">
        <v>59800</v>
      </c>
      <c r="F10" s="6" t="n">
        <v>58950</v>
      </c>
      <c r="G10" s="6" t="n">
        <v>59800</v>
      </c>
      <c r="H10" s="6" t="n">
        <v>59810</v>
      </c>
      <c r="I10" s="6" t="n">
        <v>59920</v>
      </c>
      <c r="J10" s="6" t="n">
        <v>59440</v>
      </c>
      <c r="K10" s="6" t="n">
        <v>59860</v>
      </c>
    </row>
    <row r="11" customFormat="false" ht="15" hidden="false" customHeight="false" outlineLevel="0" collapsed="false">
      <c r="A11" s="5" t="n">
        <v>46135</v>
      </c>
      <c r="B11" s="6" t="n">
        <v>39</v>
      </c>
      <c r="C11" s="6" t="n">
        <v>125</v>
      </c>
      <c r="D11" s="6" t="n">
        <v>59780</v>
      </c>
      <c r="E11" s="6" t="n">
        <v>60270</v>
      </c>
      <c r="F11" s="6" t="n">
        <v>58700</v>
      </c>
      <c r="G11" s="6" t="n">
        <v>59140</v>
      </c>
      <c r="H11" s="6" t="n">
        <v>59200</v>
      </c>
      <c r="I11" s="6" t="n">
        <v>59500</v>
      </c>
      <c r="J11" s="6" t="n">
        <v>58360</v>
      </c>
      <c r="K11" s="6" t="n">
        <v>58880</v>
      </c>
    </row>
    <row r="12" customFormat="false" ht="15" hidden="false" customHeight="false" outlineLevel="0" collapsed="false">
      <c r="A12" s="5" t="n">
        <v>46136</v>
      </c>
      <c r="B12" s="6" t="n">
        <v>47</v>
      </c>
      <c r="C12" s="6" t="n">
        <v>120</v>
      </c>
      <c r="D12" s="6" t="n">
        <v>59220</v>
      </c>
      <c r="E12" s="6" t="n">
        <v>59820</v>
      </c>
      <c r="F12" s="6" t="n">
        <v>59160</v>
      </c>
      <c r="G12" s="6" t="n">
        <v>59720</v>
      </c>
      <c r="H12" s="6" t="n">
        <v>59760</v>
      </c>
      <c r="I12" s="6" t="n">
        <v>60140</v>
      </c>
      <c r="J12" s="6" t="n">
        <v>59420</v>
      </c>
      <c r="K12" s="6" t="n">
        <v>60140</v>
      </c>
    </row>
    <row r="13" customFormat="false" ht="15" hidden="false" customHeight="false" outlineLevel="0" collapsed="false">
      <c r="A13" s="5" t="n">
        <v>46139</v>
      </c>
      <c r="B13" s="6" t="n">
        <v>60</v>
      </c>
      <c r="C13" s="6" t="n">
        <v>144</v>
      </c>
      <c r="D13" s="6" t="n">
        <v>59950</v>
      </c>
      <c r="E13" s="6" t="n">
        <v>60970</v>
      </c>
      <c r="F13" s="6" t="n">
        <v>59670</v>
      </c>
      <c r="G13" s="6" t="n">
        <v>60240</v>
      </c>
      <c r="H13" s="6" t="n">
        <v>60340</v>
      </c>
      <c r="I13" s="6" t="n">
        <v>60640</v>
      </c>
      <c r="J13" s="6" t="n">
        <v>60010</v>
      </c>
      <c r="K13" s="6" t="n">
        <v>60200</v>
      </c>
    </row>
    <row r="14" customFormat="false" ht="15" hidden="false" customHeight="false" outlineLevel="0" collapsed="false">
      <c r="A14" s="5" t="n">
        <v>46140</v>
      </c>
      <c r="B14" s="6" t="n">
        <v>58</v>
      </c>
      <c r="C14" s="6" t="n">
        <v>91</v>
      </c>
      <c r="D14" s="6" t="n">
        <v>60440</v>
      </c>
      <c r="E14" s="6" t="n">
        <v>60520</v>
      </c>
      <c r="F14" s="6" t="n">
        <v>59770</v>
      </c>
      <c r="G14" s="6" t="n">
        <v>60020</v>
      </c>
      <c r="H14" s="6" t="n">
        <v>60100</v>
      </c>
      <c r="I14" s="6" t="n">
        <v>60150</v>
      </c>
      <c r="J14" s="6" t="n">
        <v>58910</v>
      </c>
      <c r="K14" s="6" t="n">
        <v>59010</v>
      </c>
    </row>
    <row r="15" customFormat="false" ht="15" hidden="false" customHeight="false" outlineLevel="0" collapsed="false">
      <c r="A15" s="5" t="n">
        <v>46141</v>
      </c>
      <c r="B15" s="7"/>
      <c r="C15" s="7"/>
      <c r="D15" s="6" t="n">
        <v>59290</v>
      </c>
      <c r="E15" s="6" t="n">
        <v>59550</v>
      </c>
      <c r="F15" s="6" t="n">
        <v>59140</v>
      </c>
      <c r="G15" s="6" t="n">
        <v>59350</v>
      </c>
      <c r="H15" s="6" t="n">
        <v>59170</v>
      </c>
      <c r="I15" s="6" t="n">
        <v>59410</v>
      </c>
      <c r="J15" s="6" t="n">
        <v>58630</v>
      </c>
      <c r="K15" s="6" t="n">
        <v>58670</v>
      </c>
    </row>
    <row r="16" customFormat="false" ht="15" hidden="false" customHeight="false" outlineLevel="0" collapsed="false">
      <c r="A16" s="5" t="n">
        <v>46142</v>
      </c>
      <c r="B16" s="6" t="n">
        <v>74</v>
      </c>
      <c r="C16" s="6" t="n">
        <v>130</v>
      </c>
      <c r="D16" s="6" t="n">
        <v>59200</v>
      </c>
      <c r="E16" s="6" t="n">
        <v>59600</v>
      </c>
      <c r="F16" s="6" t="n">
        <v>58990</v>
      </c>
      <c r="G16" s="6" t="n">
        <v>59530</v>
      </c>
      <c r="H16" s="6" t="n">
        <v>59570</v>
      </c>
      <c r="I16" s="6" t="n">
        <v>59890</v>
      </c>
      <c r="J16" s="6" t="n">
        <v>58860</v>
      </c>
      <c r="K16" s="6" t="n">
        <v>59720</v>
      </c>
    </row>
    <row r="17" customFormat="false" ht="15" hidden="false" customHeight="false" outlineLevel="0" collapsed="false">
      <c r="A17" s="5" t="n">
        <v>46143</v>
      </c>
      <c r="B17" s="6" t="n">
        <v>60</v>
      </c>
      <c r="C17" s="6" t="n">
        <v>146</v>
      </c>
      <c r="D17" s="6" t="n">
        <v>59700</v>
      </c>
      <c r="E17" s="6" t="n">
        <v>59880</v>
      </c>
      <c r="F17" s="6" t="n">
        <v>59420</v>
      </c>
      <c r="G17" s="6" t="n">
        <v>59420</v>
      </c>
      <c r="H17" s="6" t="n">
        <v>59380</v>
      </c>
      <c r="I17" s="6" t="n">
        <v>59610</v>
      </c>
      <c r="J17" s="6" t="n">
        <v>59110</v>
      </c>
      <c r="K17" s="6" t="n">
        <v>59300</v>
      </c>
    </row>
    <row r="18" customFormat="false" ht="15" hidden="false" customHeight="false" outlineLevel="0" collapsed="false">
      <c r="A18" s="5" t="n">
        <v>46146</v>
      </c>
      <c r="B18" s="7"/>
      <c r="C18" s="7"/>
      <c r="D18" s="6" t="n">
        <v>59660</v>
      </c>
      <c r="E18" s="6" t="n">
        <v>60010</v>
      </c>
      <c r="F18" s="6" t="n">
        <v>59370</v>
      </c>
      <c r="G18" s="6" t="n">
        <v>59840</v>
      </c>
      <c r="H18" s="6" t="n">
        <v>59840</v>
      </c>
      <c r="I18" s="6" t="n">
        <v>60040</v>
      </c>
      <c r="J18" s="6" t="n">
        <v>59150</v>
      </c>
      <c r="K18" s="6" t="n">
        <v>59300</v>
      </c>
    </row>
    <row r="19" customFormat="false" ht="15" hidden="false" customHeight="false" outlineLevel="0" collapsed="false">
      <c r="A19" s="5" t="n">
        <v>46147</v>
      </c>
      <c r="B19" s="7"/>
      <c r="C19" s="7"/>
      <c r="D19" s="6" t="n">
        <v>59460</v>
      </c>
      <c r="E19" s="6" t="n">
        <v>59730</v>
      </c>
      <c r="F19" s="6" t="n">
        <v>59330</v>
      </c>
      <c r="G19" s="6" t="n">
        <v>59670</v>
      </c>
      <c r="H19" s="6" t="n">
        <v>59750</v>
      </c>
      <c r="I19" s="6" t="n">
        <v>60750</v>
      </c>
      <c r="J19" s="6" t="n">
        <v>59720</v>
      </c>
      <c r="K19" s="6" t="n">
        <v>60700</v>
      </c>
    </row>
    <row r="20" customFormat="false" ht="15" hidden="false" customHeight="false" outlineLevel="0" collapsed="false">
      <c r="A20" s="5" t="n">
        <v>46148</v>
      </c>
      <c r="B20" s="7"/>
      <c r="C20" s="7"/>
      <c r="D20" s="6" t="n">
        <v>61080</v>
      </c>
      <c r="E20" s="6" t="n">
        <v>61440</v>
      </c>
      <c r="F20" s="6" t="n">
        <v>61000</v>
      </c>
      <c r="G20" s="6" t="n">
        <v>61330</v>
      </c>
      <c r="H20" s="6" t="n">
        <v>61320</v>
      </c>
      <c r="I20" s="6" t="n">
        <v>62370</v>
      </c>
      <c r="J20" s="6" t="n">
        <v>61320</v>
      </c>
      <c r="K20" s="6" t="n">
        <v>62190</v>
      </c>
    </row>
    <row r="21" customFormat="false" ht="15" hidden="false" customHeight="false" outlineLevel="0" collapsed="false">
      <c r="A21" s="5" t="n">
        <v>46149</v>
      </c>
      <c r="B21" s="6" t="n">
        <v>162</v>
      </c>
      <c r="C21" s="6" t="n">
        <v>87</v>
      </c>
      <c r="D21" s="6" t="n">
        <v>61910</v>
      </c>
      <c r="E21" s="6" t="n">
        <v>63270</v>
      </c>
      <c r="F21" s="6" t="n">
        <v>61740</v>
      </c>
      <c r="G21" s="6" t="n">
        <v>63130</v>
      </c>
      <c r="H21" s="6" t="n">
        <v>63330</v>
      </c>
      <c r="I21" s="6" t="n">
        <v>63390</v>
      </c>
      <c r="J21" s="6" t="n">
        <v>62070</v>
      </c>
      <c r="K21" s="6" t="n">
        <v>62140</v>
      </c>
    </row>
    <row r="22" customFormat="false" ht="15" hidden="false" customHeight="false" outlineLevel="0" collapsed="false">
      <c r="A22" s="5" t="n">
        <v>46150</v>
      </c>
      <c r="B22" s="6" t="n">
        <v>129</v>
      </c>
      <c r="C22" s="6" t="n">
        <v>85</v>
      </c>
      <c r="D22" s="6" t="n">
        <v>62190</v>
      </c>
      <c r="E22" s="6" t="n">
        <v>62860</v>
      </c>
      <c r="F22" s="6" t="n">
        <v>62020</v>
      </c>
      <c r="G22" s="6" t="n">
        <v>62840</v>
      </c>
      <c r="H22" s="6" t="n">
        <v>62880</v>
      </c>
      <c r="I22" s="6" t="n">
        <v>63760</v>
      </c>
      <c r="J22" s="6" t="n">
        <v>62670</v>
      </c>
      <c r="K22" s="6" t="n">
        <v>63760</v>
      </c>
    </row>
    <row r="23" customFormat="false" ht="15" hidden="false" customHeight="false" outlineLevel="0" collapsed="false">
      <c r="A23" s="5" t="n">
        <v>46153</v>
      </c>
      <c r="B23" s="6" t="n">
        <v>198</v>
      </c>
      <c r="C23" s="6" t="n">
        <v>105</v>
      </c>
      <c r="D23" s="6" t="n">
        <v>63800</v>
      </c>
      <c r="E23" s="6" t="n">
        <v>63810</v>
      </c>
      <c r="F23" s="6" t="n">
        <v>62360</v>
      </c>
      <c r="G23" s="6" t="n">
        <v>62400</v>
      </c>
      <c r="H23" s="6" t="n">
        <v>62660</v>
      </c>
      <c r="I23" s="6" t="n">
        <v>62950</v>
      </c>
      <c r="J23" s="6" t="n">
        <v>62480</v>
      </c>
      <c r="K23" s="6" t="n">
        <v>62890</v>
      </c>
    </row>
    <row r="24" customFormat="false" ht="15" hidden="false" customHeight="false" outlineLevel="0" collapsed="false">
      <c r="A24" s="5" t="n">
        <v>46154</v>
      </c>
      <c r="B24" s="6" t="n">
        <v>192</v>
      </c>
      <c r="C24" s="6" t="n">
        <v>128</v>
      </c>
      <c r="D24" s="6" t="n">
        <v>62890</v>
      </c>
      <c r="E24" s="6" t="n">
        <v>63260</v>
      </c>
      <c r="F24" s="6" t="n">
        <v>62200</v>
      </c>
      <c r="G24" s="6" t="n">
        <v>62660</v>
      </c>
      <c r="H24" s="6" t="n">
        <v>62620</v>
      </c>
      <c r="I24" s="6" t="n">
        <v>62740</v>
      </c>
      <c r="J24" s="6" t="n">
        <v>61800</v>
      </c>
      <c r="K24" s="6" t="n">
        <v>62510</v>
      </c>
    </row>
    <row r="25" customFormat="false" ht="15" hidden="false" customHeight="false" outlineLevel="0" collapsed="false">
      <c r="A25" s="5" t="n">
        <v>46155</v>
      </c>
      <c r="B25" s="6" t="n">
        <v>128</v>
      </c>
      <c r="C25" s="6" t="n">
        <v>116</v>
      </c>
      <c r="D25" s="6" t="n">
        <v>62410</v>
      </c>
      <c r="E25" s="6" t="n">
        <v>63440</v>
      </c>
      <c r="F25" s="6" t="n">
        <v>62270</v>
      </c>
      <c r="G25" s="6" t="n">
        <v>63310</v>
      </c>
      <c r="H25" s="6" t="n">
        <v>63330</v>
      </c>
      <c r="I25" s="6" t="n">
        <v>63500</v>
      </c>
      <c r="J25" s="6" t="n">
        <v>62720</v>
      </c>
      <c r="K25" s="6" t="n">
        <v>63490</v>
      </c>
    </row>
    <row r="26" customFormat="false" ht="15" hidden="false" customHeight="false" outlineLevel="0" collapsed="false">
      <c r="A26" s="5" t="n">
        <v>46156</v>
      </c>
      <c r="B26" s="6" t="n">
        <v>180</v>
      </c>
      <c r="C26" s="6" t="n">
        <v>222</v>
      </c>
      <c r="D26" s="6" t="n">
        <v>63530</v>
      </c>
      <c r="E26" s="6" t="n">
        <v>63860</v>
      </c>
      <c r="F26" s="6" t="n">
        <v>62660</v>
      </c>
      <c r="G26" s="6" t="n">
        <v>62720</v>
      </c>
      <c r="H26" s="6" t="n">
        <v>62680</v>
      </c>
      <c r="I26" s="6" t="n">
        <v>63050</v>
      </c>
      <c r="J26" s="6" t="n">
        <v>62550</v>
      </c>
      <c r="K26" s="6" t="n">
        <v>62850</v>
      </c>
    </row>
    <row r="27" customFormat="false" ht="15" hidden="false" customHeight="false" outlineLevel="0" collapsed="false">
      <c r="A27" s="5" t="n">
        <v>46157</v>
      </c>
      <c r="B27" s="6" t="n">
        <v>151</v>
      </c>
      <c r="C27" s="6" t="n">
        <v>199</v>
      </c>
      <c r="D27" s="6" t="n">
        <v>63090</v>
      </c>
      <c r="E27" s="6" t="n">
        <v>63280</v>
      </c>
      <c r="F27" s="6" t="n">
        <v>61000</v>
      </c>
      <c r="G27" s="6" t="n">
        <v>62040</v>
      </c>
      <c r="H27" s="6" t="n">
        <v>62680</v>
      </c>
      <c r="I27" s="6" t="n">
        <v>63130</v>
      </c>
      <c r="J27" s="6" t="n">
        <v>62550</v>
      </c>
      <c r="K27" s="6" t="n">
        <v>63100</v>
      </c>
    </row>
    <row r="28" customFormat="false" ht="15" hidden="false" customHeight="false" outlineLevel="0" collapsed="false">
      <c r="A28" s="5" t="n">
        <v>46160</v>
      </c>
      <c r="B28" s="6" t="n">
        <v>94</v>
      </c>
      <c r="C28" s="6" t="n">
        <v>274</v>
      </c>
      <c r="D28" s="6" t="n">
        <v>61660</v>
      </c>
      <c r="E28" s="6" t="n">
        <v>61820</v>
      </c>
      <c r="F28" s="6" t="n">
        <v>60420</v>
      </c>
      <c r="G28" s="6" t="n">
        <v>60660</v>
      </c>
      <c r="H28" s="6" t="n">
        <v>60850</v>
      </c>
      <c r="I28" s="6" t="n">
        <v>61840</v>
      </c>
      <c r="J28" s="6" t="n">
        <v>60830</v>
      </c>
      <c r="K28" s="6" t="n">
        <v>61410</v>
      </c>
    </row>
    <row r="29" customFormat="false" ht="15" hidden="false" customHeight="false" outlineLevel="0" collapsed="false">
      <c r="A29" s="5" t="n">
        <v>46161</v>
      </c>
      <c r="B29" s="6" t="n">
        <v>109</v>
      </c>
      <c r="C29" s="6" t="n">
        <v>95</v>
      </c>
      <c r="D29" s="6" t="n">
        <v>61600</v>
      </c>
      <c r="E29" s="6" t="n">
        <v>61620</v>
      </c>
      <c r="F29" s="6" t="n">
        <v>60310</v>
      </c>
      <c r="G29" s="6" t="n">
        <v>60880</v>
      </c>
      <c r="H29" s="6" t="n">
        <v>61050</v>
      </c>
      <c r="I29" s="6" t="n">
        <v>61150</v>
      </c>
      <c r="J29" s="6" t="n">
        <v>59960</v>
      </c>
      <c r="K29" s="6" t="n">
        <v>60570</v>
      </c>
    </row>
    <row r="30" customFormat="false" ht="15" hidden="false" customHeight="false" outlineLevel="0" collapsed="false">
      <c r="A30" s="5" t="n">
        <v>46162</v>
      </c>
      <c r="B30" s="6" t="n">
        <v>68</v>
      </c>
      <c r="C30" s="6" t="n">
        <v>202</v>
      </c>
      <c r="D30" s="6" t="n">
        <v>60850</v>
      </c>
      <c r="E30" s="6" t="n">
        <v>60850</v>
      </c>
      <c r="F30" s="6" t="n">
        <v>59340</v>
      </c>
      <c r="G30" s="6" t="n">
        <v>59700</v>
      </c>
      <c r="H30" s="6" t="n">
        <v>59820</v>
      </c>
      <c r="I30" s="6" t="n">
        <v>61560</v>
      </c>
      <c r="J30" s="6" t="n">
        <v>59820</v>
      </c>
      <c r="K30" s="6" t="n">
        <v>61220</v>
      </c>
    </row>
    <row r="31" customFormat="false" ht="15" hidden="false" customHeight="false" outlineLevel="0" collapsed="false">
      <c r="A31" s="5" t="n">
        <v>46163</v>
      </c>
      <c r="B31" s="6" t="n">
        <v>115</v>
      </c>
      <c r="C31" s="6" t="n">
        <v>100</v>
      </c>
      <c r="D31" s="6" t="n">
        <v>61190</v>
      </c>
      <c r="E31" s="6" t="n">
        <v>62080</v>
      </c>
      <c r="F31" s="6" t="n">
        <v>61130</v>
      </c>
      <c r="G31" s="6" t="n">
        <v>61540</v>
      </c>
      <c r="H31" s="6" t="n">
        <v>61510</v>
      </c>
      <c r="I31" s="6" t="n">
        <v>62370</v>
      </c>
      <c r="J31" s="6" t="n">
        <v>61020</v>
      </c>
      <c r="K31" s="6" t="n">
        <v>62110</v>
      </c>
    </row>
    <row r="32" customFormat="false" ht="15" hidden="false" customHeight="false" outlineLevel="0" collapsed="false">
      <c r="A32" s="5" t="n">
        <v>46164</v>
      </c>
      <c r="B32" s="6" t="n">
        <v>98</v>
      </c>
      <c r="C32" s="6" t="n">
        <v>108</v>
      </c>
      <c r="D32" s="6" t="n">
        <v>62080</v>
      </c>
      <c r="E32" s="6" t="n">
        <v>63500</v>
      </c>
      <c r="F32" s="6" t="n">
        <v>62080</v>
      </c>
      <c r="G32" s="6" t="n">
        <v>63340</v>
      </c>
      <c r="H32" s="6" t="n">
        <v>63310</v>
      </c>
      <c r="I32" s="6" t="n">
        <v>63810</v>
      </c>
      <c r="J32" s="6" t="n">
        <v>62860</v>
      </c>
      <c r="K32" s="6" t="n">
        <v>63280</v>
      </c>
    </row>
    <row r="33" customFormat="false" ht="15" hidden="false" customHeight="false" outlineLevel="0" collapsed="false">
      <c r="A33" s="5" t="n">
        <v>46167</v>
      </c>
      <c r="B33" s="6" t="n">
        <v>140</v>
      </c>
      <c r="C33" s="6" t="n">
        <v>172</v>
      </c>
      <c r="D33" s="6" t="n">
        <v>64170</v>
      </c>
      <c r="E33" s="6" t="n">
        <v>65430</v>
      </c>
      <c r="F33" s="6" t="n">
        <v>63830</v>
      </c>
      <c r="G33" s="6" t="n">
        <v>65280</v>
      </c>
      <c r="H33" s="6" t="n">
        <v>65260</v>
      </c>
      <c r="I33" s="6" t="n">
        <v>65700</v>
      </c>
      <c r="J33" s="6" t="n">
        <v>65100</v>
      </c>
      <c r="K33" s="6" t="n">
        <v>65460</v>
      </c>
    </row>
    <row r="34" customFormat="false" ht="15" hidden="false" customHeight="false" outlineLevel="0" collapsed="false">
      <c r="A34" s="5" t="n">
        <v>46168</v>
      </c>
      <c r="B34" s="6" t="n">
        <v>133</v>
      </c>
      <c r="C34" s="6" t="n">
        <v>170</v>
      </c>
      <c r="D34" s="6" t="n">
        <v>65280</v>
      </c>
      <c r="E34" s="6" t="n">
        <v>65450</v>
      </c>
      <c r="F34" s="6" t="n">
        <v>64650</v>
      </c>
      <c r="G34" s="6" t="n">
        <v>65140</v>
      </c>
      <c r="H34" s="6" t="n">
        <v>65000</v>
      </c>
      <c r="I34" s="6" t="n">
        <v>65670</v>
      </c>
      <c r="J34" s="6" t="n">
        <v>64990</v>
      </c>
      <c r="K34" s="6" t="n">
        <v>65510</v>
      </c>
    </row>
    <row r="35" customFormat="false" ht="15" hidden="false" customHeight="false" outlineLevel="0" collapsed="false">
      <c r="A35" s="5" t="n">
        <v>46169</v>
      </c>
      <c r="B35" s="6" t="n">
        <v>128</v>
      </c>
      <c r="C35" s="6" t="n">
        <v>201</v>
      </c>
      <c r="D35" s="6" t="n">
        <v>65780</v>
      </c>
      <c r="E35" s="6" t="n">
        <v>66510</v>
      </c>
      <c r="F35" s="6" t="n">
        <v>65000</v>
      </c>
      <c r="G35" s="6" t="n">
        <v>65020</v>
      </c>
      <c r="H35" s="6" t="n">
        <v>65000</v>
      </c>
      <c r="I35" s="6" t="n">
        <v>65670</v>
      </c>
      <c r="J35" s="6" t="n">
        <v>64990</v>
      </c>
      <c r="K35" s="6" t="n">
        <v>65510</v>
      </c>
    </row>
    <row r="36" customFormat="false" ht="15" hidden="false" customHeight="false" outlineLevel="0" collapsed="false">
      <c r="A36" s="5" t="n">
        <v>46170</v>
      </c>
      <c r="B36" s="6" t="n">
        <v>72</v>
      </c>
      <c r="C36" s="6" t="n">
        <v>138</v>
      </c>
      <c r="D36" s="6" t="n">
        <v>64960</v>
      </c>
      <c r="E36" s="6" t="n">
        <v>65190</v>
      </c>
      <c r="F36" s="6" t="n">
        <v>63910</v>
      </c>
      <c r="G36" s="6" t="n">
        <v>64560</v>
      </c>
      <c r="H36" s="6" t="n">
        <v>64710</v>
      </c>
      <c r="I36" s="6" t="n">
        <v>65910</v>
      </c>
      <c r="J36" s="6" t="n">
        <v>64350</v>
      </c>
      <c r="K36" s="6" t="n">
        <v>65800</v>
      </c>
    </row>
    <row r="37" customFormat="false" ht="15" hidden="false" customHeight="false" outlineLevel="0" collapsed="false">
      <c r="A37" s="5" t="n">
        <v>46171</v>
      </c>
      <c r="B37" s="6" t="n">
        <v>138</v>
      </c>
      <c r="C37" s="6" t="n">
        <v>67</v>
      </c>
      <c r="D37" s="6" t="n">
        <v>65730</v>
      </c>
      <c r="E37" s="6" t="n">
        <v>66540</v>
      </c>
      <c r="F37" s="6" t="n">
        <v>65570</v>
      </c>
      <c r="G37" s="6" t="n">
        <v>66470</v>
      </c>
      <c r="H37" s="6" t="n">
        <v>66430</v>
      </c>
      <c r="I37" s="6" t="n">
        <v>66660</v>
      </c>
      <c r="J37" s="6" t="n">
        <v>66070</v>
      </c>
      <c r="K37" s="6" t="n">
        <v>66200</v>
      </c>
    </row>
    <row r="38" customFormat="false" ht="15" hidden="false" customHeight="false" outlineLevel="0" collapsed="false">
      <c r="A38" s="5" t="n">
        <v>46174</v>
      </c>
      <c r="B38" s="6" t="n">
        <v>100</v>
      </c>
      <c r="C38" s="6" t="n">
        <v>259</v>
      </c>
      <c r="D38" s="6" t="n">
        <v>66250</v>
      </c>
      <c r="E38" s="6" t="n">
        <v>67240</v>
      </c>
      <c r="F38" s="6" t="n">
        <v>66240</v>
      </c>
      <c r="G38" s="6" t="n">
        <v>67080</v>
      </c>
      <c r="H38" s="6" t="n">
        <v>67180</v>
      </c>
      <c r="I38" s="6" t="n">
        <v>67620</v>
      </c>
      <c r="J38" s="6" t="n">
        <v>66530</v>
      </c>
      <c r="K38" s="6" t="n">
        <v>67260</v>
      </c>
    </row>
    <row r="39" customFormat="false" ht="15" hidden="false" customHeight="false" outlineLevel="0" collapsed="false">
      <c r="A39" s="5" t="n">
        <v>46175</v>
      </c>
      <c r="B39" s="6" t="n">
        <v>49</v>
      </c>
      <c r="C39" s="6" t="n">
        <v>345</v>
      </c>
      <c r="D39" s="6" t="n">
        <v>67070</v>
      </c>
      <c r="E39" s="6" t="n">
        <v>67220</v>
      </c>
      <c r="F39" s="6" t="n">
        <v>65580</v>
      </c>
      <c r="G39" s="6" t="n">
        <v>66750</v>
      </c>
      <c r="H39" s="6" t="n">
        <v>66940</v>
      </c>
      <c r="I39" s="6" t="n">
        <v>67600</v>
      </c>
      <c r="J39" s="6" t="n">
        <v>66700</v>
      </c>
      <c r="K39" s="6" t="n">
        <v>67490</v>
      </c>
    </row>
    <row r="40" customFormat="false" ht="15" hidden="false" customHeight="false" outlineLevel="0" collapsed="false">
      <c r="A40" s="5" t="n">
        <v>46176</v>
      </c>
      <c r="B40" s="6" t="n">
        <v>90</v>
      </c>
      <c r="C40" s="6" t="n">
        <v>261</v>
      </c>
      <c r="D40" s="6" t="n">
        <v>67220</v>
      </c>
      <c r="E40" s="6" t="n">
        <v>68800</v>
      </c>
      <c r="F40" s="6" t="n">
        <v>67190</v>
      </c>
      <c r="G40" s="6" t="n">
        <v>68560</v>
      </c>
      <c r="H40" s="6" t="n">
        <v>68590</v>
      </c>
      <c r="I40" s="6" t="n">
        <v>68750</v>
      </c>
      <c r="J40" s="6" t="n">
        <v>67980</v>
      </c>
      <c r="K40" s="6" t="n">
        <v>68130</v>
      </c>
    </row>
    <row r="41" customFormat="false" ht="15" hidden="false" customHeight="false" outlineLevel="0" collapsed="false">
      <c r="A41" s="5" t="n">
        <v>46177</v>
      </c>
      <c r="B41" s="6" t="n">
        <v>64</v>
      </c>
      <c r="C41" s="6" t="n">
        <v>208</v>
      </c>
      <c r="D41" s="6" t="n">
        <v>67650</v>
      </c>
      <c r="E41" s="6" t="n">
        <v>67910</v>
      </c>
      <c r="F41" s="6" t="n">
        <v>66950</v>
      </c>
      <c r="G41" s="6" t="n">
        <v>67640</v>
      </c>
      <c r="H41" s="6" t="n">
        <v>67740</v>
      </c>
      <c r="I41" s="6" t="n">
        <v>67890</v>
      </c>
      <c r="J41" s="6" t="n">
        <v>66930</v>
      </c>
      <c r="K41" s="6" t="n">
        <v>67610</v>
      </c>
    </row>
    <row r="42" customFormat="false" ht="15" hidden="false" customHeight="false" outlineLevel="0" collapsed="false">
      <c r="A42" s="5" t="n">
        <v>46178</v>
      </c>
      <c r="B42" s="6" t="n">
        <v>70</v>
      </c>
      <c r="C42" s="6" t="n">
        <v>62</v>
      </c>
      <c r="D42" s="6" t="n">
        <v>67350</v>
      </c>
      <c r="E42" s="6" t="n">
        <v>67410</v>
      </c>
      <c r="F42" s="6" t="n">
        <v>65890</v>
      </c>
      <c r="G42" s="6" t="n">
        <v>66670</v>
      </c>
      <c r="H42" s="6" t="n">
        <v>66680</v>
      </c>
      <c r="I42" s="6" t="n">
        <v>67170</v>
      </c>
      <c r="J42" s="6" t="n">
        <v>63500</v>
      </c>
      <c r="K42" s="6" t="n">
        <v>63820</v>
      </c>
    </row>
    <row r="43" customFormat="false" ht="15" hidden="false" customHeight="false" outlineLevel="0" collapsed="false">
      <c r="A43" s="5" t="n">
        <v>46181</v>
      </c>
      <c r="B43" s="6" t="n">
        <v>27</v>
      </c>
      <c r="C43" s="6" t="n">
        <v>163</v>
      </c>
      <c r="D43" s="6" t="n">
        <v>64130</v>
      </c>
      <c r="E43" s="6" t="n">
        <v>64750</v>
      </c>
      <c r="F43" s="6" t="n">
        <v>63410</v>
      </c>
      <c r="G43" s="6" t="n">
        <v>63820</v>
      </c>
      <c r="H43" s="6" t="n">
        <v>64400</v>
      </c>
      <c r="I43" s="6" t="n">
        <v>65910</v>
      </c>
      <c r="J43" s="6" t="n">
        <v>64120</v>
      </c>
      <c r="K43" s="6" t="n">
        <v>65400</v>
      </c>
    </row>
    <row r="44" customFormat="false" ht="15" hidden="false" customHeight="false" outlineLevel="0" collapsed="false">
      <c r="A44" s="5" t="n">
        <v>46182</v>
      </c>
      <c r="B44" s="6" t="n">
        <v>62</v>
      </c>
      <c r="C44" s="6" t="n">
        <v>119</v>
      </c>
      <c r="D44" s="6" t="n">
        <v>65390</v>
      </c>
      <c r="E44" s="6" t="n">
        <v>65480</v>
      </c>
      <c r="F44" s="6" t="n">
        <v>63920</v>
      </c>
      <c r="G44" s="6" t="n">
        <v>65400</v>
      </c>
      <c r="H44" s="6" t="n">
        <v>65550</v>
      </c>
      <c r="I44" s="6" t="n">
        <v>66110</v>
      </c>
      <c r="J44" s="6" t="n">
        <v>63110</v>
      </c>
      <c r="K44" s="6" t="n">
        <v>64440</v>
      </c>
    </row>
    <row r="45" customFormat="false" ht="15" hidden="false" customHeight="false" outlineLevel="0" collapsed="false">
      <c r="A45" s="5" t="n">
        <v>46183</v>
      </c>
      <c r="B45" s="6" t="n">
        <v>85</v>
      </c>
      <c r="C45" s="6" t="n">
        <v>196</v>
      </c>
      <c r="D45" s="6" t="n">
        <v>64030</v>
      </c>
      <c r="E45" s="6" t="n">
        <v>65090</v>
      </c>
      <c r="F45" s="6" t="n">
        <v>63750</v>
      </c>
      <c r="G45" s="6" t="n">
        <v>64340</v>
      </c>
      <c r="H45" s="6" t="n">
        <v>64310</v>
      </c>
      <c r="I45" s="6" t="n">
        <v>64840</v>
      </c>
      <c r="J45" s="6" t="n">
        <v>63140</v>
      </c>
      <c r="K45" s="6" t="n">
        <v>63140</v>
      </c>
    </row>
    <row r="46" customFormat="false" ht="15" hidden="false" customHeight="false" outlineLevel="0" collapsed="false">
      <c r="A46" s="5" t="n">
        <v>46184</v>
      </c>
      <c r="B46" s="6" t="n">
        <v>22</v>
      </c>
      <c r="C46" s="6" t="n">
        <v>232</v>
      </c>
      <c r="D46" s="6" t="n">
        <v>63080</v>
      </c>
      <c r="E46" s="6" t="n">
        <v>64410</v>
      </c>
      <c r="F46" s="6" t="n">
        <v>62350</v>
      </c>
      <c r="G46" s="6" t="n">
        <v>64320</v>
      </c>
      <c r="H46" s="6" t="n">
        <v>64620</v>
      </c>
      <c r="I46" s="6" t="n">
        <v>66740</v>
      </c>
      <c r="J46" s="6" t="n">
        <v>64080</v>
      </c>
      <c r="K46" s="6" t="n">
        <v>66540</v>
      </c>
    </row>
    <row r="47" customFormat="false" ht="15" hidden="false" customHeight="false" outlineLevel="0" collapsed="false">
      <c r="A47" s="5" t="n">
        <v>46185</v>
      </c>
      <c r="B47" s="6" t="n">
        <v>47</v>
      </c>
      <c r="C47" s="6" t="n">
        <v>123</v>
      </c>
      <c r="D47" s="6" t="n">
        <v>66600</v>
      </c>
      <c r="E47" s="6" t="n">
        <v>67190</v>
      </c>
      <c r="F47" s="6" t="n">
        <v>65960</v>
      </c>
      <c r="G47" s="6" t="n">
        <v>66120</v>
      </c>
      <c r="H47" s="6" t="n">
        <v>66450</v>
      </c>
      <c r="I47" s="6" t="n">
        <v>67530</v>
      </c>
      <c r="J47" s="6" t="n">
        <v>66380</v>
      </c>
      <c r="K47" s="6" t="n">
        <v>67440</v>
      </c>
    </row>
    <row r="48" customFormat="false" ht="15" hidden="false" customHeight="false" outlineLevel="0" collapsed="false">
      <c r="A48" s="5" t="n">
        <v>46188</v>
      </c>
      <c r="B48" s="6" t="n">
        <v>95</v>
      </c>
      <c r="C48" s="6" t="n">
        <v>86</v>
      </c>
      <c r="D48" s="6" t="n">
        <v>68300</v>
      </c>
      <c r="E48" s="6" t="n">
        <v>69840</v>
      </c>
      <c r="F48" s="6" t="n">
        <v>68200</v>
      </c>
      <c r="G48" s="6" t="n">
        <v>69400</v>
      </c>
      <c r="H48" s="6" t="n">
        <v>69430</v>
      </c>
      <c r="I48" s="6" t="n">
        <v>69910</v>
      </c>
      <c r="J48" s="6" t="n">
        <v>69160</v>
      </c>
      <c r="K48" s="6" t="n">
        <v>69750</v>
      </c>
    </row>
    <row r="49" customFormat="false" ht="15" hidden="false" customHeight="false" outlineLevel="0" collapsed="false">
      <c r="A49" s="5" t="n">
        <v>46189</v>
      </c>
      <c r="B49" s="6" t="n">
        <v>47</v>
      </c>
      <c r="C49" s="6" t="n">
        <v>136</v>
      </c>
      <c r="D49" s="6" t="n">
        <v>69510</v>
      </c>
      <c r="E49" s="6" t="n">
        <v>70140</v>
      </c>
      <c r="F49" s="6" t="n">
        <v>69240</v>
      </c>
      <c r="G49" s="6" t="n">
        <v>69370</v>
      </c>
      <c r="H49" s="6" t="n">
        <v>69750</v>
      </c>
      <c r="I49" s="6" t="n">
        <v>70100</v>
      </c>
      <c r="J49" s="6" t="n">
        <v>69110</v>
      </c>
      <c r="K49" s="6" t="n">
        <v>69110</v>
      </c>
    </row>
    <row r="50" customFormat="false" ht="15" hidden="false" customHeight="false" outlineLevel="0" collapsed="false">
      <c r="A50" s="5" t="n">
        <v>46190</v>
      </c>
      <c r="B50" s="6" t="n">
        <v>65</v>
      </c>
      <c r="C50" s="6" t="n">
        <v>61</v>
      </c>
      <c r="D50" s="6" t="n">
        <v>69010</v>
      </c>
      <c r="E50" s="6" t="n">
        <v>70260</v>
      </c>
      <c r="F50" s="6" t="n">
        <v>68870</v>
      </c>
      <c r="G50" s="6" t="n">
        <v>70050</v>
      </c>
      <c r="H50" s="6" t="n">
        <v>70080</v>
      </c>
      <c r="I50" s="6" t="n">
        <v>71000</v>
      </c>
      <c r="J50" s="6" t="n">
        <v>69790</v>
      </c>
      <c r="K50" s="6" t="n">
        <v>69980</v>
      </c>
    </row>
    <row r="51" customFormat="false" ht="15" hidden="false" customHeight="false" outlineLevel="0" collapsed="false">
      <c r="A51" s="5" t="n">
        <v>46191</v>
      </c>
      <c r="B51" s="6" t="n">
        <v>110</v>
      </c>
      <c r="C51" s="6" t="n">
        <v>76</v>
      </c>
      <c r="D51" s="6" t="n">
        <v>70590</v>
      </c>
      <c r="E51" s="6" t="n">
        <v>71530</v>
      </c>
      <c r="F51" s="6" t="n">
        <v>70330</v>
      </c>
      <c r="G51" s="6" t="n">
        <v>71240</v>
      </c>
      <c r="H51" s="6" t="n">
        <v>71560</v>
      </c>
      <c r="I51" s="6" t="n">
        <v>72220</v>
      </c>
      <c r="J51" s="6" t="n">
        <v>71190</v>
      </c>
      <c r="K51" s="6" t="n">
        <v>72000</v>
      </c>
    </row>
    <row r="52" customFormat="false" ht="15" hidden="false" customHeight="false" outlineLevel="0" collapsed="false">
      <c r="A52" s="5" t="n">
        <v>46192</v>
      </c>
      <c r="B52" s="6" t="n">
        <v>118</v>
      </c>
      <c r="C52" s="6" t="n">
        <v>114</v>
      </c>
      <c r="D52" s="6" t="n">
        <v>71800</v>
      </c>
      <c r="E52" s="6" t="n">
        <v>72330</v>
      </c>
      <c r="F52" s="6" t="n">
        <v>70810</v>
      </c>
      <c r="G52" s="6" t="n">
        <v>71620</v>
      </c>
      <c r="H52" s="6" t="n">
        <v>71800</v>
      </c>
      <c r="I52" s="6" t="n">
        <v>72210</v>
      </c>
      <c r="J52" s="6" t="n">
        <v>71630</v>
      </c>
      <c r="K52" s="6" t="n">
        <v>71850</v>
      </c>
    </row>
    <row r="53" customFormat="false" ht="15" hidden="false" customHeight="false" outlineLevel="0" collapsed="false">
      <c r="A53" s="5" t="n">
        <v>46195</v>
      </c>
      <c r="B53" s="6" t="n">
        <v>105</v>
      </c>
      <c r="C53" s="6" t="n">
        <v>107</v>
      </c>
      <c r="D53" s="6" t="n">
        <v>71590</v>
      </c>
      <c r="E53" s="6" t="n">
        <v>73090</v>
      </c>
      <c r="F53" s="6" t="n">
        <v>71320</v>
      </c>
      <c r="G53" s="6" t="n">
        <v>72860</v>
      </c>
      <c r="H53" s="6" t="n">
        <v>72840</v>
      </c>
      <c r="I53" s="6" t="n">
        <v>73760</v>
      </c>
      <c r="J53" s="6" t="n">
        <v>72620</v>
      </c>
      <c r="K53" s="6" t="n">
        <v>73090</v>
      </c>
    </row>
    <row r="54" customFormat="false" ht="15" hidden="false" customHeight="false" outlineLevel="0" collapsed="false">
      <c r="A54" s="5" t="n">
        <v>46196</v>
      </c>
      <c r="B54" s="6" t="n">
        <v>73</v>
      </c>
      <c r="C54" s="6" t="n">
        <v>157</v>
      </c>
      <c r="D54" s="6" t="n">
        <v>72990</v>
      </c>
      <c r="E54" s="6" t="n">
        <v>73070</v>
      </c>
      <c r="F54" s="6" t="n">
        <v>69770</v>
      </c>
      <c r="G54" s="6" t="n">
        <v>69770</v>
      </c>
      <c r="H54" s="6" t="n">
        <v>69550</v>
      </c>
      <c r="I54" s="6" t="n">
        <v>69670</v>
      </c>
      <c r="J54" s="6" t="n">
        <v>68400</v>
      </c>
      <c r="K54" s="6" t="n">
        <v>69290</v>
      </c>
    </row>
    <row r="55" customFormat="false" ht="15" hidden="false" customHeight="false" outlineLevel="0" collapsed="false">
      <c r="A55" s="5" t="n">
        <v>46197</v>
      </c>
      <c r="B55" s="6" t="n">
        <v>31</v>
      </c>
      <c r="C55" s="6" t="n">
        <v>124</v>
      </c>
      <c r="D55" s="6" t="n">
        <v>69410</v>
      </c>
      <c r="E55" s="6" t="n">
        <v>70320</v>
      </c>
      <c r="F55" s="6" t="n">
        <v>68580</v>
      </c>
      <c r="G55" s="6" t="n">
        <v>69560</v>
      </c>
      <c r="H55" s="6" t="n">
        <v>69330</v>
      </c>
      <c r="I55" s="6" t="n">
        <v>71120</v>
      </c>
      <c r="J55" s="6" t="n">
        <v>68930</v>
      </c>
      <c r="K55" s="6" t="n">
        <v>71060</v>
      </c>
    </row>
    <row r="56" customFormat="false" ht="15" hidden="false" customHeight="false" outlineLevel="0" collapsed="false">
      <c r="A56" s="5" t="n">
        <v>46198</v>
      </c>
      <c r="B56" s="6" t="n">
        <v>70</v>
      </c>
      <c r="C56" s="6" t="n">
        <v>91</v>
      </c>
      <c r="D56" s="6" t="n">
        <v>71400</v>
      </c>
      <c r="E56" s="6" t="n">
        <v>72700</v>
      </c>
      <c r="F56" s="6" t="n">
        <v>70780</v>
      </c>
      <c r="G56" s="6" t="n">
        <v>72570</v>
      </c>
      <c r="H56" s="6" t="n">
        <v>72600</v>
      </c>
      <c r="I56" s="6" t="n">
        <v>72720</v>
      </c>
      <c r="J56" s="6" t="n">
        <v>70810</v>
      </c>
      <c r="K56" s="6" t="n">
        <v>71250</v>
      </c>
    </row>
    <row r="57" customFormat="false" ht="15" hidden="false" customHeight="false" outlineLevel="0" collapsed="false">
      <c r="A57" s="5" t="n">
        <v>46199</v>
      </c>
      <c r="B57" s="6" t="n">
        <v>55</v>
      </c>
      <c r="C57" s="6" t="n">
        <v>126</v>
      </c>
      <c r="D57" s="6" t="n">
        <v>71330</v>
      </c>
      <c r="E57" s="6" t="n">
        <v>71430</v>
      </c>
      <c r="F57" s="6" t="n">
        <v>68760</v>
      </c>
      <c r="G57" s="6" t="n">
        <v>69610</v>
      </c>
      <c r="H57" s="6" t="n">
        <v>69900</v>
      </c>
      <c r="I57" s="6" t="n">
        <v>70190</v>
      </c>
      <c r="J57" s="6" t="n">
        <v>68920</v>
      </c>
      <c r="K57" s="6" t="n">
        <v>69610</v>
      </c>
    </row>
    <row r="58" customFormat="false" ht="15" hidden="false" customHeight="false" outlineLevel="0" collapsed="false">
      <c r="A58" s="5" t="n">
        <v>46202</v>
      </c>
      <c r="B58" s="6" t="n">
        <v>61</v>
      </c>
      <c r="C58" s="6" t="n">
        <v>78</v>
      </c>
      <c r="D58" s="6" t="n">
        <v>70140</v>
      </c>
      <c r="E58" s="6" t="n">
        <v>70170</v>
      </c>
      <c r="F58" s="6" t="n">
        <v>68170</v>
      </c>
      <c r="G58" s="6" t="n">
        <v>69780</v>
      </c>
      <c r="H58" s="6" t="n">
        <v>69870</v>
      </c>
      <c r="I58" s="6" t="n">
        <v>70850</v>
      </c>
      <c r="J58" s="6" t="n">
        <v>68800</v>
      </c>
      <c r="K58" s="6" t="n">
        <v>70650</v>
      </c>
    </row>
    <row r="59" customFormat="false" ht="15" hidden="false" customHeight="false" outlineLevel="0" collapsed="false">
      <c r="A59" s="5" t="n">
        <v>46203</v>
      </c>
      <c r="B59" s="6" t="n">
        <v>64</v>
      </c>
      <c r="C59" s="6" t="n">
        <v>38</v>
      </c>
      <c r="D59" s="6" t="n">
        <v>70680</v>
      </c>
      <c r="E59" s="6" t="n">
        <v>70820</v>
      </c>
      <c r="F59" s="6" t="n">
        <v>69480</v>
      </c>
      <c r="G59" s="6" t="n">
        <v>70140</v>
      </c>
      <c r="H59" s="6" t="n">
        <v>70300</v>
      </c>
      <c r="I59" s="6" t="n">
        <v>71390</v>
      </c>
      <c r="J59" s="6" t="n">
        <v>69810</v>
      </c>
      <c r="K59" s="6" t="n">
        <v>70990</v>
      </c>
    </row>
    <row r="60" customFormat="false" ht="15" hidden="false" customHeight="false" outlineLevel="0" collapsed="false">
      <c r="A60" s="5" t="n">
        <v>46204</v>
      </c>
      <c r="B60" s="6" t="n">
        <v>72</v>
      </c>
      <c r="C60" s="6" t="n">
        <v>30</v>
      </c>
      <c r="D60" s="6" t="n">
        <v>70920</v>
      </c>
      <c r="E60" s="6" t="n">
        <v>72110</v>
      </c>
      <c r="F60" s="6" t="n">
        <v>70280</v>
      </c>
      <c r="G60" s="6" t="n">
        <v>70640</v>
      </c>
      <c r="H60" s="6" t="n">
        <v>70710</v>
      </c>
      <c r="I60" s="6" t="n">
        <v>71090</v>
      </c>
      <c r="J60" s="6" t="n">
        <v>69530</v>
      </c>
      <c r="K60" s="6" t="n">
        <v>69610</v>
      </c>
    </row>
    <row r="61" customFormat="false" ht="15" hidden="false" customHeight="false" outlineLevel="0" collapsed="false">
      <c r="A61" s="5" t="n">
        <v>46205</v>
      </c>
      <c r="B61" s="6" t="n">
        <v>83</v>
      </c>
      <c r="C61" s="6" t="n">
        <v>11</v>
      </c>
      <c r="D61" s="6" t="n">
        <v>69570</v>
      </c>
      <c r="E61" s="6" t="n">
        <v>70040</v>
      </c>
      <c r="F61" s="6" t="n">
        <v>68830</v>
      </c>
      <c r="G61" s="6" t="n">
        <v>68860</v>
      </c>
      <c r="H61" s="6" t="n">
        <v>68600</v>
      </c>
      <c r="I61" s="6" t="n">
        <v>69900</v>
      </c>
      <c r="J61" s="6" t="n">
        <v>67630</v>
      </c>
      <c r="K61" s="6" t="n">
        <v>68290</v>
      </c>
    </row>
    <row r="62" customFormat="false" ht="15" hidden="false" customHeight="false" outlineLevel="0" collapsed="false">
      <c r="A62" s="5" t="n">
        <v>46206</v>
      </c>
      <c r="B62" s="6" t="n">
        <v>102</v>
      </c>
      <c r="C62" s="6" t="n">
        <v>14</v>
      </c>
      <c r="D62" s="6" t="n">
        <v>68540</v>
      </c>
      <c r="E62" s="6" t="n">
        <v>70040</v>
      </c>
      <c r="F62" s="6" t="n">
        <v>67760</v>
      </c>
      <c r="G62" s="6" t="n">
        <v>70040</v>
      </c>
      <c r="H62" s="6" t="n">
        <v>69820</v>
      </c>
      <c r="I62" s="6" t="n">
        <v>69970</v>
      </c>
      <c r="J62" s="6" t="n">
        <v>69550</v>
      </c>
      <c r="K62" s="6" t="n">
        <v>69680</v>
      </c>
    </row>
    <row r="63" customFormat="false" ht="15" hidden="false" customHeight="false" outlineLevel="0" collapsed="false">
      <c r="A63" s="5" t="n">
        <v>46209</v>
      </c>
      <c r="B63" s="6" t="n">
        <v>118</v>
      </c>
      <c r="C63" s="6" t="n">
        <v>5</v>
      </c>
      <c r="D63" s="6" t="n">
        <v>69960</v>
      </c>
      <c r="E63" s="6" t="n">
        <v>70520</v>
      </c>
      <c r="F63" s="6" t="n">
        <v>68970</v>
      </c>
      <c r="G63" s="6" t="n">
        <v>70010</v>
      </c>
      <c r="H63" s="6" t="n">
        <v>70100</v>
      </c>
      <c r="I63" s="6" t="n">
        <v>70490</v>
      </c>
      <c r="J63" s="6" t="n">
        <v>69880</v>
      </c>
      <c r="K63" s="6" t="n">
        <v>70300</v>
      </c>
    </row>
    <row r="64" customFormat="false" ht="15" hidden="false" customHeight="false" outlineLevel="0" collapsed="false">
      <c r="A64" s="5" t="n">
        <v>46210</v>
      </c>
      <c r="B64" s="6" t="n">
        <v>130</v>
      </c>
      <c r="C64" s="6" t="n">
        <v>7</v>
      </c>
      <c r="D64" s="6" t="n">
        <v>70160</v>
      </c>
      <c r="E64" s="6" t="n">
        <v>70210</v>
      </c>
      <c r="F64" s="6" t="n">
        <v>68140</v>
      </c>
      <c r="G64" s="6" t="n">
        <v>68420</v>
      </c>
      <c r="H64" s="6" t="n">
        <v>68470</v>
      </c>
      <c r="I64" s="6" t="n">
        <v>68670</v>
      </c>
      <c r="J64" s="6" t="n">
        <v>67420</v>
      </c>
      <c r="K64" s="6" t="n">
        <v>67570</v>
      </c>
    </row>
    <row r="65" customFormat="false" ht="15" hidden="false" customHeight="false" outlineLevel="0" collapsed="false">
      <c r="A65" s="5" t="n">
        <v>46211</v>
      </c>
      <c r="B65" s="6" t="n">
        <v>87</v>
      </c>
      <c r="C65" s="6" t="n">
        <v>8</v>
      </c>
      <c r="D65" s="6" t="n">
        <v>67570</v>
      </c>
      <c r="E65" s="6" t="n">
        <v>68570</v>
      </c>
      <c r="F65" s="6" t="n">
        <v>66810</v>
      </c>
      <c r="G65" s="6" t="n">
        <v>66810</v>
      </c>
      <c r="H65" s="6" t="n">
        <v>67160</v>
      </c>
      <c r="I65" s="6" t="n">
        <v>67860</v>
      </c>
      <c r="J65" s="6" t="n">
        <v>65430</v>
      </c>
      <c r="K65" s="6" t="n">
        <v>67700</v>
      </c>
    </row>
    <row r="66" customFormat="false" ht="15" hidden="false" customHeight="false" outlineLevel="0" collapsed="false">
      <c r="A66" s="5" t="n">
        <v>46212</v>
      </c>
      <c r="B66" s="6" t="n">
        <v>43</v>
      </c>
      <c r="C66" s="6" t="n">
        <v>8</v>
      </c>
      <c r="D66" s="6" t="n">
        <v>67860</v>
      </c>
      <c r="E66" s="6" t="n">
        <v>68600</v>
      </c>
      <c r="F66" s="6" t="n">
        <v>67610</v>
      </c>
      <c r="G66" s="6" t="n">
        <v>67920</v>
      </c>
      <c r="H66" s="6" t="n">
        <v>67990</v>
      </c>
      <c r="I66" s="6" t="n">
        <v>69090</v>
      </c>
      <c r="J66" s="6" t="n">
        <v>67480</v>
      </c>
      <c r="K66" s="6" t="n">
        <v>69060</v>
      </c>
    </row>
    <row r="67" customFormat="false" ht="15" hidden="false" customHeight="false" outlineLevel="0" collapsed="false">
      <c r="A67" s="5" t="n">
        <v>46213</v>
      </c>
      <c r="B67" s="6" t="n">
        <v>60</v>
      </c>
      <c r="C67" s="6" t="n">
        <v>4</v>
      </c>
      <c r="D67" s="6" t="n">
        <v>69010</v>
      </c>
      <c r="E67" s="6" t="n">
        <v>69510</v>
      </c>
      <c r="F67" s="6" t="n">
        <v>68580</v>
      </c>
      <c r="G67" s="6" t="n">
        <v>68810</v>
      </c>
      <c r="H67" s="6" t="n">
        <v>68740</v>
      </c>
      <c r="I67" s="6" t="n">
        <v>69360</v>
      </c>
      <c r="J67" s="6" t="n">
        <v>68220</v>
      </c>
      <c r="K67" s="6" t="n">
        <v>69360</v>
      </c>
    </row>
    <row r="68" customFormat="false" ht="15" hidden="false" customHeight="false" outlineLevel="0" collapsed="false">
      <c r="A68" s="5" t="n">
        <v>46216</v>
      </c>
      <c r="B68" s="6" t="n">
        <v>67</v>
      </c>
      <c r="C68" s="6" t="n">
        <v>6</v>
      </c>
      <c r="D68" s="6" t="n">
        <v>68990</v>
      </c>
      <c r="E68" s="6" t="n">
        <v>69200</v>
      </c>
      <c r="F68" s="6" t="n">
        <v>66760</v>
      </c>
      <c r="G68" s="6" t="n">
        <v>67260</v>
      </c>
      <c r="H68" s="6" t="n">
        <v>67400</v>
      </c>
      <c r="I68" s="6" t="n">
        <v>68050</v>
      </c>
      <c r="J68" s="6" t="n">
        <v>67070</v>
      </c>
      <c r="K68" s="6" t="n">
        <v>67070</v>
      </c>
    </row>
    <row r="69" customFormat="false" ht="15" hidden="false" customHeight="false" outlineLevel="0" collapsed="false">
      <c r="A69" s="5" t="n">
        <v>46217</v>
      </c>
      <c r="B69" s="6" t="n">
        <v>58</v>
      </c>
      <c r="C69" s="6" t="n">
        <v>6</v>
      </c>
      <c r="D69" s="6" t="n">
        <v>66810</v>
      </c>
      <c r="E69" s="6" t="n">
        <v>67910</v>
      </c>
      <c r="F69" s="6" t="n">
        <v>66360</v>
      </c>
      <c r="G69" s="6" t="n">
        <v>67800</v>
      </c>
      <c r="H69" s="6" t="n">
        <v>67640</v>
      </c>
      <c r="I69" s="6" t="n">
        <v>68750</v>
      </c>
      <c r="J69" s="6" t="n">
        <v>67590</v>
      </c>
      <c r="K69" s="6" t="n">
        <v>68250</v>
      </c>
    </row>
    <row r="70" customFormat="false" ht="15" hidden="false" customHeight="false" outlineLevel="0" collapsed="false">
      <c r="A70" s="5" t="n">
        <v>46218</v>
      </c>
      <c r="B70" s="6" t="n">
        <v>93</v>
      </c>
      <c r="C70" s="6" t="n">
        <v>6</v>
      </c>
      <c r="D70" s="6" t="n">
        <v>68390</v>
      </c>
      <c r="E70" s="6" t="n">
        <v>68910</v>
      </c>
      <c r="F70" s="6" t="n">
        <v>67930</v>
      </c>
      <c r="G70" s="6" t="n">
        <v>68860</v>
      </c>
      <c r="H70" s="6" t="n">
        <v>68760</v>
      </c>
      <c r="I70" s="6" t="n">
        <v>68770</v>
      </c>
      <c r="J70" s="6" t="n">
        <v>67100</v>
      </c>
      <c r="K70" s="6" t="n">
        <v>67600</v>
      </c>
    </row>
    <row r="71" customFormat="false" ht="15" hidden="false" customHeight="false" outlineLevel="0" collapsed="false">
      <c r="A71" s="5" t="n">
        <v>46219</v>
      </c>
      <c r="B71" s="6" t="n">
        <v>77</v>
      </c>
      <c r="C71" s="6" t="n">
        <v>10</v>
      </c>
      <c r="D71" s="6" t="n">
        <v>67770</v>
      </c>
      <c r="E71" s="6" t="n">
        <v>67870</v>
      </c>
      <c r="F71" s="6" t="n">
        <v>66580</v>
      </c>
      <c r="G71" s="6" t="n">
        <v>66840</v>
      </c>
      <c r="H71" s="6" t="n">
        <v>66500</v>
      </c>
      <c r="I71" s="6" t="n">
        <v>66930</v>
      </c>
      <c r="J71" s="6" t="n">
        <v>65730</v>
      </c>
      <c r="K71" s="6" t="n">
        <v>65920</v>
      </c>
    </row>
    <row r="72" customFormat="false" ht="15" hidden="false" customHeight="false" outlineLevel="0" collapsed="false">
      <c r="A72" s="5" t="n">
        <v>46220</v>
      </c>
      <c r="B72" s="6" t="n">
        <v>40</v>
      </c>
      <c r="C72" s="6" t="n">
        <v>43</v>
      </c>
      <c r="D72" s="6" t="n">
        <v>65910</v>
      </c>
      <c r="E72" s="6" t="n">
        <v>65910</v>
      </c>
      <c r="F72" s="6" t="n">
        <v>62780</v>
      </c>
      <c r="G72" s="6" t="n">
        <v>64060</v>
      </c>
      <c r="H72" s="7" t="s">
        <v>2</v>
      </c>
      <c r="I72" s="7" t="s">
        <v>2</v>
      </c>
      <c r="J72" s="7" t="s">
        <v>2</v>
      </c>
      <c r="K72" s="7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14" min="9" style="0" width="10"/>
    <col collapsed="false" customWidth="true" hidden="false" outlineLevel="0" max="18" min="15" style="0" width="8"/>
    <col collapsed="false" customWidth="true" hidden="false" outlineLevel="0" max="19" min="19" style="0" width="6"/>
    <col collapsed="false" customWidth="true" hidden="false" outlineLevel="0" max="20" min="20" style="0" width="11"/>
    <col collapsed="false" customWidth="true" hidden="false" outlineLevel="0" max="24" min="21" style="0" width="8"/>
  </cols>
  <sheetData>
    <row r="1" customFormat="false" ht="19.4" hidden="false" customHeight="false" outlineLevel="0" collapsed="false">
      <c r="A1" s="8" t="s">
        <v>3</v>
      </c>
    </row>
    <row r="2" customFormat="false" ht="30" hidden="false" customHeight="true" outlineLevel="0" collapsed="false">
      <c r="A2" s="9" t="s">
        <v>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customFormat="false" ht="42" hidden="false" customHeight="true" outlineLevel="0" collapsed="false">
      <c r="A3" s="10" t="n">
        <f aca="false">データ!A3</f>
        <v>46125</v>
      </c>
      <c r="B3" s="11" t="n">
        <f aca="false">IFERROR(IF(データ!B3="","",データ!B3),"")</f>
        <v>73</v>
      </c>
      <c r="C3" s="11" t="n">
        <f aca="false">IFERROR(IF(データ!C3="","",データ!C3),"")</f>
        <v>49</v>
      </c>
      <c r="D3" s="12" t="n">
        <f aca="false">IFERROR(B3-C3,"")</f>
        <v>24</v>
      </c>
      <c r="E3" s="13" t="n">
        <f aca="false">IFERROR((B3-C3)/(B3+C3)*100,"")</f>
        <v>19.672131147541</v>
      </c>
      <c r="F3" s="14"/>
      <c r="G3" s="14"/>
      <c r="H3" s="13" t="n">
        <f aca="false">IFERROR(B3/C3,"")</f>
        <v>1.48979591836735</v>
      </c>
      <c r="I3" s="13" t="n">
        <f aca="false">IFERROR(25*(B3-MIN(INDEX($B$3:$B$72,MAX(3,ROW()-59)-3+1):B3))/(MAX(INDEX($B$3:$B$72,MAX(3,ROW()-59)-3+1):B3)-MIN(INDEX($B$3:$B$72,MAX(3,ROW()-59)-3+1):B3)),12.5)</f>
        <v>12.5</v>
      </c>
      <c r="J3" s="13" t="n">
        <f aca="false">IFERROR(25*(C3-MIN(INDEX($C$3:$C$72,MAX(3,ROW()-59)-3+1):C3))/(MAX(INDEX($C$3:$C$72,MAX(3,ROW()-59)-3+1):C3)-MIN(INDEX($C$3:$C$72,MAX(3,ROW()-59)-3+1):C3)),12.5)</f>
        <v>12.5</v>
      </c>
      <c r="K3" s="13" t="n">
        <f aca="false">IFERROR(25*(MAX(INDEX($C$3:$C$72,MAX(3,ROW()-59)-3+1):C3)-C3)/(MAX(INDEX($C$3:$C$72,MAX(3,ROW()-59)-3+1):C3)-MIN(INDEX($C$3:$C$72,MAX(3,ROW()-59)-3+1):C3)),12.5)</f>
        <v>12.5</v>
      </c>
      <c r="L3" s="13" t="n">
        <f aca="false">IFERROR(25*(MAX(INDEX($B$3:$B$72,MAX(3,ROW()-59)-3+1):B3)-B3)/(MAX(INDEX($B$3:$B$72,MAX(3,ROW()-59)-3+1):B3)-MIN(INDEX($B$3:$B$72,MAX(3,ROW()-59)-3+1):B3)),12.5)</f>
        <v>12.5</v>
      </c>
      <c r="M3" s="13" t="n">
        <f aca="false">IFERROR(I3+K3,"")</f>
        <v>25</v>
      </c>
      <c r="N3" s="13" t="n">
        <f aca="false">IFERROR(L3+J3,"")</f>
        <v>25</v>
      </c>
      <c r="O3" s="12" t="n">
        <f aca="false">IF(AND(ISNUMBER(B3),B3&gt;=100),1,0)</f>
        <v>0</v>
      </c>
      <c r="P3" s="12" t="n">
        <f aca="false">0</f>
        <v>0</v>
      </c>
      <c r="Q3" s="12" t="n">
        <f aca="false">IF(AND(ISNUMBER(C3),C3&gt;=100),1,0)</f>
        <v>0</v>
      </c>
      <c r="R3" s="12" t="n">
        <f aca="false">IF(AND(ISNUMBER(H3),H3&lt;1.1),1,0)</f>
        <v>0</v>
      </c>
      <c r="S3" s="12" t="n">
        <f aca="false">O3+P3+Q3+R3</f>
        <v>0</v>
      </c>
      <c r="T3" s="15" t="str">
        <f aca="false">IF(S3=4,"◎売り確定",IF(S3=3,"○警戒","-"))</f>
        <v>-</v>
      </c>
      <c r="U3" s="12"/>
      <c r="V3" s="12" t="str">
        <f aca="false">IF(AND(ISNUMBER(H3),H3&lt;1),"転換","")</f>
        <v/>
      </c>
      <c r="W3" s="12" t="n">
        <f aca="false">IF(T3="◎売り確定",3,IF(T3="○警戒",1,0))</f>
        <v>0</v>
      </c>
      <c r="X3" s="12" t="n">
        <f aca="false">IF(AND(ISNUMBER(N3),N3&gt;=40),3,IF(AND(ISNUMBER(N3),N3&gt;=32),1,0))</f>
        <v>0</v>
      </c>
    </row>
    <row r="4" customFormat="false" ht="15" hidden="false" customHeight="false" outlineLevel="0" collapsed="false">
      <c r="A4" s="16" t="n">
        <f aca="false">データ!A4</f>
        <v>46126</v>
      </c>
      <c r="B4" s="17" t="n">
        <f aca="false">IFERROR(IF(データ!B4="","",データ!B4),"")</f>
        <v>94</v>
      </c>
      <c r="C4" s="17" t="n">
        <f aca="false">IFERROR(IF(データ!C4="","",データ!C4),"")</f>
        <v>39</v>
      </c>
      <c r="D4" s="18" t="n">
        <f aca="false">IFERROR(B4-C4,"")</f>
        <v>55</v>
      </c>
      <c r="E4" s="19" t="n">
        <f aca="false">IFERROR((B4-C4)/(B4+C4)*100,"")</f>
        <v>41.3533834586466</v>
      </c>
      <c r="F4" s="20" t="n">
        <f aca="false">IFERROR((B4-B3)/B3,"")</f>
        <v>0.287671232876712</v>
      </c>
      <c r="G4" s="20" t="n">
        <f aca="false">IFERROR((C4-C3)/C3,"")</f>
        <v>-0.204081632653061</v>
      </c>
      <c r="H4" s="19" t="n">
        <f aca="false">IFERROR(B4/C4,"")</f>
        <v>2.41025641025641</v>
      </c>
      <c r="I4" s="19" t="n">
        <f aca="false">IFERROR(25*(B4-MIN(INDEX($B$3:$B$72,MAX(3,ROW()-59)-3+1):B4))/(MAX(INDEX($B$3:$B$72,MAX(3,ROW()-59)-3+1):B4)-MIN(INDEX($B$3:$B$72,MAX(3,ROW()-59)-3+1):B4)),12.5)</f>
        <v>25</v>
      </c>
      <c r="J4" s="19" t="n">
        <f aca="false">IFERROR(25*(C4-MIN(INDEX($C$3:$C$72,MAX(3,ROW()-59)-3+1):C4))/(MAX(INDEX($C$3:$C$72,MAX(3,ROW()-59)-3+1):C4)-MIN(INDEX($C$3:$C$72,MAX(3,ROW()-59)-3+1):C4)),12.5)</f>
        <v>0</v>
      </c>
      <c r="K4" s="19" t="n">
        <f aca="false">IFERROR(25*(MAX(INDEX($C$3:$C$72,MAX(3,ROW()-59)-3+1):C4)-C4)/(MAX(INDEX($C$3:$C$72,MAX(3,ROW()-59)-3+1):C4)-MIN(INDEX($C$3:$C$72,MAX(3,ROW()-59)-3+1):C4)),12.5)</f>
        <v>25</v>
      </c>
      <c r="L4" s="19" t="n">
        <f aca="false">IFERROR(25*(MAX(INDEX($B$3:$B$72,MAX(3,ROW()-59)-3+1):B4)-B4)/(MAX(INDEX($B$3:$B$72,MAX(3,ROW()-59)-3+1):B4)-MIN(INDEX($B$3:$B$72,MAX(3,ROW()-59)-3+1):B4)),12.5)</f>
        <v>0</v>
      </c>
      <c r="M4" s="19" t="n">
        <f aca="false">IFERROR(I4+K4,"")</f>
        <v>50</v>
      </c>
      <c r="N4" s="19" t="n">
        <f aca="false">IFERROR(L4+J4,"")</f>
        <v>0</v>
      </c>
      <c r="O4" s="18" t="n">
        <f aca="false">IF(AND(ISNUMBER(B4),B4&gt;=100),1,0)</f>
        <v>0</v>
      </c>
      <c r="P4" s="18" t="n">
        <f aca="false">IF(AND(ISNUMBER(B4),ISNUMBER(B3),B4&lt;B3),1,0)</f>
        <v>0</v>
      </c>
      <c r="Q4" s="18" t="n">
        <f aca="false">IF(AND(ISNUMBER(C4),C4&gt;=100),1,0)</f>
        <v>0</v>
      </c>
      <c r="R4" s="18" t="n">
        <f aca="false">IF(AND(ISNUMBER(H4),H4&lt;1.1),1,0)</f>
        <v>0</v>
      </c>
      <c r="S4" s="18" t="n">
        <f aca="false">O4+P4+Q4+R4</f>
        <v>0</v>
      </c>
      <c r="T4" s="21" t="str">
        <f aca="false">IF(S4=4,"◎売り確定",IF(S4=3,"○警戒","-"))</f>
        <v>-</v>
      </c>
      <c r="U4" s="18" t="str">
        <f aca="false">IF(AND(ISNUMBER(D3),ISNUMBER(D4),D3&gt;0,D4&lt;=0),"転換","")</f>
        <v/>
      </c>
      <c r="V4" s="18" t="str">
        <f aca="false">IF(AND(ISNUMBER(H4),H4&lt;1),"転換","")</f>
        <v/>
      </c>
      <c r="W4" s="18" t="n">
        <f aca="false">IF(T4="◎売り確定",3,IF(T4="○警戒",1,0))</f>
        <v>0</v>
      </c>
      <c r="X4" s="18" t="n">
        <f aca="false">IF(AND(ISNUMBER(N4),N4&gt;=40),3,IF(AND(ISNUMBER(N4),N4&gt;=32),1,0))</f>
        <v>0</v>
      </c>
    </row>
    <row r="5" customFormat="false" ht="15" hidden="false" customHeight="false" outlineLevel="0" collapsed="false">
      <c r="A5" s="16" t="n">
        <f aca="false">データ!A5</f>
        <v>46127</v>
      </c>
      <c r="B5" s="17" t="n">
        <f aca="false">IFERROR(IF(データ!B5="","",データ!B5),"")</f>
        <v>115</v>
      </c>
      <c r="C5" s="17" t="n">
        <f aca="false">IFERROR(IF(データ!C5="","",データ!C5),"")</f>
        <v>38</v>
      </c>
      <c r="D5" s="18" t="n">
        <f aca="false">IFERROR(B5-C5,"")</f>
        <v>77</v>
      </c>
      <c r="E5" s="19" t="n">
        <f aca="false">IFERROR((B5-C5)/(B5+C5)*100,"")</f>
        <v>50.3267973856209</v>
      </c>
      <c r="F5" s="20" t="n">
        <f aca="false">IFERROR((B5-B4)/B4,"")</f>
        <v>0.223404255319149</v>
      </c>
      <c r="G5" s="20" t="n">
        <f aca="false">IFERROR((C5-C4)/C4,"")</f>
        <v>-0.0256410256410256</v>
      </c>
      <c r="H5" s="19" t="n">
        <f aca="false">IFERROR(B5/C5,"")</f>
        <v>3.02631578947368</v>
      </c>
      <c r="I5" s="19" t="n">
        <f aca="false">IFERROR(25*(B5-MIN(INDEX($B$3:$B$72,MAX(3,ROW()-59)-3+1):B5))/(MAX(INDEX($B$3:$B$72,MAX(3,ROW()-59)-3+1):B5)-MIN(INDEX($B$3:$B$72,MAX(3,ROW()-59)-3+1):B5)),12.5)</f>
        <v>25</v>
      </c>
      <c r="J5" s="19" t="n">
        <f aca="false">IFERROR(25*(C5-MIN(INDEX($C$3:$C$72,MAX(3,ROW()-59)-3+1):C5))/(MAX(INDEX($C$3:$C$72,MAX(3,ROW()-59)-3+1):C5)-MIN(INDEX($C$3:$C$72,MAX(3,ROW()-59)-3+1):C5)),12.5)</f>
        <v>0</v>
      </c>
      <c r="K5" s="19" t="n">
        <f aca="false">IFERROR(25*(MAX(INDEX($C$3:$C$72,MAX(3,ROW()-59)-3+1):C5)-C5)/(MAX(INDEX($C$3:$C$72,MAX(3,ROW()-59)-3+1):C5)-MIN(INDEX($C$3:$C$72,MAX(3,ROW()-59)-3+1):C5)),12.5)</f>
        <v>25</v>
      </c>
      <c r="L5" s="19" t="n">
        <f aca="false">IFERROR(25*(MAX(INDEX($B$3:$B$72,MAX(3,ROW()-59)-3+1):B5)-B5)/(MAX(INDEX($B$3:$B$72,MAX(3,ROW()-59)-3+1):B5)-MIN(INDEX($B$3:$B$72,MAX(3,ROW()-59)-3+1):B5)),12.5)</f>
        <v>0</v>
      </c>
      <c r="M5" s="19" t="n">
        <f aca="false">IFERROR(I5+K5,"")</f>
        <v>50</v>
      </c>
      <c r="N5" s="19" t="n">
        <f aca="false">IFERROR(L5+J5,"")</f>
        <v>0</v>
      </c>
      <c r="O5" s="18" t="n">
        <f aca="false">IF(AND(ISNUMBER(B5),B5&gt;=100),1,0)</f>
        <v>1</v>
      </c>
      <c r="P5" s="18" t="n">
        <f aca="false">IF(AND(ISNUMBER(B5),ISNUMBER(B4),B5&lt;B4),1,0)</f>
        <v>0</v>
      </c>
      <c r="Q5" s="18" t="n">
        <f aca="false">IF(AND(ISNUMBER(C5),C5&gt;=100),1,0)</f>
        <v>0</v>
      </c>
      <c r="R5" s="18" t="n">
        <f aca="false">IF(AND(ISNUMBER(H5),H5&lt;1.1),1,0)</f>
        <v>0</v>
      </c>
      <c r="S5" s="18" t="n">
        <f aca="false">O5+P5+Q5+R5</f>
        <v>1</v>
      </c>
      <c r="T5" s="21" t="str">
        <f aca="false">IF(S5=4,"◎売り確定",IF(S5=3,"○警戒","-"))</f>
        <v>-</v>
      </c>
      <c r="U5" s="18" t="str">
        <f aca="false">IF(AND(ISNUMBER(D4),ISNUMBER(D5),D4&gt;0,D5&lt;=0),"転換","")</f>
        <v/>
      </c>
      <c r="V5" s="18" t="str">
        <f aca="false">IF(AND(ISNUMBER(H5),H5&lt;1),"転換","")</f>
        <v/>
      </c>
      <c r="W5" s="18" t="n">
        <f aca="false">IF(T5="◎売り確定",3,IF(T5="○警戒",1,0))</f>
        <v>0</v>
      </c>
      <c r="X5" s="18" t="n">
        <f aca="false">IF(AND(ISNUMBER(N5),N5&gt;=40),3,IF(AND(ISNUMBER(N5),N5&gt;=32),1,0))</f>
        <v>0</v>
      </c>
    </row>
    <row r="6" customFormat="false" ht="15" hidden="false" customHeight="false" outlineLevel="0" collapsed="false">
      <c r="A6" s="16" t="n">
        <f aca="false">データ!A6</f>
        <v>46128</v>
      </c>
      <c r="B6" s="17" t="n">
        <f aca="false">IFERROR(IF(データ!B6="","",データ!B6),"")</f>
        <v>82</v>
      </c>
      <c r="C6" s="17" t="n">
        <f aca="false">IFERROR(IF(データ!C6="","",データ!C6),"")</f>
        <v>28</v>
      </c>
      <c r="D6" s="18" t="n">
        <f aca="false">IFERROR(B6-C6,"")</f>
        <v>54</v>
      </c>
      <c r="E6" s="19" t="n">
        <f aca="false">IFERROR((B6-C6)/(B6+C6)*100,"")</f>
        <v>49.0909090909091</v>
      </c>
      <c r="F6" s="20" t="n">
        <f aca="false">IFERROR((B6-B5)/B5,"")</f>
        <v>-0.28695652173913</v>
      </c>
      <c r="G6" s="20" t="n">
        <f aca="false">IFERROR((C6-C5)/C5,"")</f>
        <v>-0.263157894736842</v>
      </c>
      <c r="H6" s="19" t="n">
        <f aca="false">IFERROR(B6/C6,"")</f>
        <v>2.92857142857143</v>
      </c>
      <c r="I6" s="19" t="n">
        <f aca="false">IFERROR(25*(B6-MIN(INDEX($B$3:$B$72,MAX(3,ROW()-59)-3+1):B6))/(MAX(INDEX($B$3:$B$72,MAX(3,ROW()-59)-3+1):B6)-MIN(INDEX($B$3:$B$72,MAX(3,ROW()-59)-3+1):B6)),12.5)</f>
        <v>5.35714285714286</v>
      </c>
      <c r="J6" s="19" t="n">
        <f aca="false">IFERROR(25*(C6-MIN(INDEX($C$3:$C$72,MAX(3,ROW()-59)-3+1):C6))/(MAX(INDEX($C$3:$C$72,MAX(3,ROW()-59)-3+1):C6)-MIN(INDEX($C$3:$C$72,MAX(3,ROW()-59)-3+1):C6)),12.5)</f>
        <v>0</v>
      </c>
      <c r="K6" s="19" t="n">
        <f aca="false">IFERROR(25*(MAX(INDEX($C$3:$C$72,MAX(3,ROW()-59)-3+1):C6)-C6)/(MAX(INDEX($C$3:$C$72,MAX(3,ROW()-59)-3+1):C6)-MIN(INDEX($C$3:$C$72,MAX(3,ROW()-59)-3+1):C6)),12.5)</f>
        <v>25</v>
      </c>
      <c r="L6" s="19" t="n">
        <f aca="false">IFERROR(25*(MAX(INDEX($B$3:$B$72,MAX(3,ROW()-59)-3+1):B6)-B6)/(MAX(INDEX($B$3:$B$72,MAX(3,ROW()-59)-3+1):B6)-MIN(INDEX($B$3:$B$72,MAX(3,ROW()-59)-3+1):B6)),12.5)</f>
        <v>19.6428571428571</v>
      </c>
      <c r="M6" s="19" t="n">
        <f aca="false">IFERROR(I6+K6,"")</f>
        <v>30.3571428571429</v>
      </c>
      <c r="N6" s="19" t="n">
        <f aca="false">IFERROR(L6+J6,"")</f>
        <v>19.6428571428571</v>
      </c>
      <c r="O6" s="18" t="n">
        <f aca="false">IF(AND(ISNUMBER(B6),B6&gt;=100),1,0)</f>
        <v>0</v>
      </c>
      <c r="P6" s="18" t="n">
        <f aca="false">IF(AND(ISNUMBER(B6),ISNUMBER(B5),B6&lt;B5),1,0)</f>
        <v>1</v>
      </c>
      <c r="Q6" s="18" t="n">
        <f aca="false">IF(AND(ISNUMBER(C6),C6&gt;=100),1,0)</f>
        <v>0</v>
      </c>
      <c r="R6" s="18" t="n">
        <f aca="false">IF(AND(ISNUMBER(H6),H6&lt;1.1),1,0)</f>
        <v>0</v>
      </c>
      <c r="S6" s="18" t="n">
        <f aca="false">O6+P6+Q6+R6</f>
        <v>1</v>
      </c>
      <c r="T6" s="21" t="str">
        <f aca="false">IF(S6=4,"◎売り確定",IF(S6=3,"○警戒","-"))</f>
        <v>-</v>
      </c>
      <c r="U6" s="18" t="str">
        <f aca="false">IF(AND(ISNUMBER(D5),ISNUMBER(D6),D5&gt;0,D6&lt;=0),"転換","")</f>
        <v/>
      </c>
      <c r="V6" s="18" t="str">
        <f aca="false">IF(AND(ISNUMBER(H6),H6&lt;1),"転換","")</f>
        <v/>
      </c>
      <c r="W6" s="18" t="n">
        <f aca="false">IF(T6="◎売り確定",3,IF(T6="○警戒",1,0))</f>
        <v>0</v>
      </c>
      <c r="X6" s="18" t="n">
        <f aca="false">IF(AND(ISNUMBER(N6),N6&gt;=40),3,IF(AND(ISNUMBER(N6),N6&gt;=32),1,0))</f>
        <v>0</v>
      </c>
    </row>
    <row r="7" customFormat="false" ht="15" hidden="false" customHeight="false" outlineLevel="0" collapsed="false">
      <c r="A7" s="16" t="n">
        <f aca="false">データ!A7</f>
        <v>46129</v>
      </c>
      <c r="B7" s="17" t="n">
        <f aca="false">IFERROR(IF(データ!B7="","",データ!B7),"")</f>
        <v>55</v>
      </c>
      <c r="C7" s="17" t="n">
        <f aca="false">IFERROR(IF(データ!C7="","",データ!C7),"")</f>
        <v>22</v>
      </c>
      <c r="D7" s="18" t="n">
        <f aca="false">IFERROR(B7-C7,"")</f>
        <v>33</v>
      </c>
      <c r="E7" s="19" t="n">
        <f aca="false">IFERROR((B7-C7)/(B7+C7)*100,"")</f>
        <v>42.8571428571429</v>
      </c>
      <c r="F7" s="20" t="n">
        <f aca="false">IFERROR((B7-B6)/B6,"")</f>
        <v>-0.329268292682927</v>
      </c>
      <c r="G7" s="20" t="n">
        <f aca="false">IFERROR((C7-C6)/C6,"")</f>
        <v>-0.214285714285714</v>
      </c>
      <c r="H7" s="19" t="n">
        <f aca="false">IFERROR(B7/C7,"")</f>
        <v>2.5</v>
      </c>
      <c r="I7" s="19" t="n">
        <f aca="false">IFERROR(25*(B7-MIN(INDEX($B$3:$B$72,MAX(3,ROW()-59)-3+1):B7))/(MAX(INDEX($B$3:$B$72,MAX(3,ROW()-59)-3+1):B7)-MIN(INDEX($B$3:$B$72,MAX(3,ROW()-59)-3+1):B7)),12.5)</f>
        <v>0</v>
      </c>
      <c r="J7" s="19" t="n">
        <f aca="false">IFERROR(25*(C7-MIN(INDEX($C$3:$C$72,MAX(3,ROW()-59)-3+1):C7))/(MAX(INDEX($C$3:$C$72,MAX(3,ROW()-59)-3+1):C7)-MIN(INDEX($C$3:$C$72,MAX(3,ROW()-59)-3+1):C7)),12.5)</f>
        <v>0</v>
      </c>
      <c r="K7" s="19" t="n">
        <f aca="false">IFERROR(25*(MAX(INDEX($C$3:$C$72,MAX(3,ROW()-59)-3+1):C7)-C7)/(MAX(INDEX($C$3:$C$72,MAX(3,ROW()-59)-3+1):C7)-MIN(INDEX($C$3:$C$72,MAX(3,ROW()-59)-3+1):C7)),12.5)</f>
        <v>25</v>
      </c>
      <c r="L7" s="19" t="n">
        <f aca="false">IFERROR(25*(MAX(INDEX($B$3:$B$72,MAX(3,ROW()-59)-3+1):B7)-B7)/(MAX(INDEX($B$3:$B$72,MAX(3,ROW()-59)-3+1):B7)-MIN(INDEX($B$3:$B$72,MAX(3,ROW()-59)-3+1):B7)),12.5)</f>
        <v>25</v>
      </c>
      <c r="M7" s="19" t="n">
        <f aca="false">IFERROR(I7+K7,"")</f>
        <v>25</v>
      </c>
      <c r="N7" s="19" t="n">
        <f aca="false">IFERROR(L7+J7,"")</f>
        <v>25</v>
      </c>
      <c r="O7" s="18" t="n">
        <f aca="false">IF(AND(ISNUMBER(B7),B7&gt;=100),1,0)</f>
        <v>0</v>
      </c>
      <c r="P7" s="18" t="n">
        <f aca="false">IF(AND(ISNUMBER(B7),ISNUMBER(B6),B7&lt;B6),1,0)</f>
        <v>1</v>
      </c>
      <c r="Q7" s="18" t="n">
        <f aca="false">IF(AND(ISNUMBER(C7),C7&gt;=100),1,0)</f>
        <v>0</v>
      </c>
      <c r="R7" s="18" t="n">
        <f aca="false">IF(AND(ISNUMBER(H7),H7&lt;1.1),1,0)</f>
        <v>0</v>
      </c>
      <c r="S7" s="18" t="n">
        <f aca="false">O7+P7+Q7+R7</f>
        <v>1</v>
      </c>
      <c r="T7" s="21" t="str">
        <f aca="false">IF(S7=4,"◎売り確定",IF(S7=3,"○警戒","-"))</f>
        <v>-</v>
      </c>
      <c r="U7" s="18" t="str">
        <f aca="false">IF(AND(ISNUMBER(D6),ISNUMBER(D7),D6&gt;0,D7&lt;=0),"転換","")</f>
        <v/>
      </c>
      <c r="V7" s="18" t="str">
        <f aca="false">IF(AND(ISNUMBER(H7),H7&lt;1),"転換","")</f>
        <v/>
      </c>
      <c r="W7" s="18" t="n">
        <f aca="false">IF(T7="◎売り確定",3,IF(T7="○警戒",1,0))</f>
        <v>0</v>
      </c>
      <c r="X7" s="18" t="n">
        <f aca="false">IF(AND(ISNUMBER(N7),N7&gt;=40),3,IF(AND(ISNUMBER(N7),N7&gt;=32),1,0))</f>
        <v>0</v>
      </c>
    </row>
    <row r="8" customFormat="false" ht="15" hidden="false" customHeight="false" outlineLevel="0" collapsed="false">
      <c r="A8" s="16" t="n">
        <f aca="false">データ!A8</f>
        <v>46132</v>
      </c>
      <c r="B8" s="17" t="n">
        <f aca="false">IFERROR(IF(データ!B8="","",データ!B8),"")</f>
        <v>68</v>
      </c>
      <c r="C8" s="17" t="n">
        <f aca="false">IFERROR(IF(データ!C8="","",データ!C8),"")</f>
        <v>26</v>
      </c>
      <c r="D8" s="18" t="n">
        <f aca="false">IFERROR(B8-C8,"")</f>
        <v>42</v>
      </c>
      <c r="E8" s="19" t="n">
        <f aca="false">IFERROR((B8-C8)/(B8+C8)*100,"")</f>
        <v>44.6808510638298</v>
      </c>
      <c r="F8" s="20" t="n">
        <f aca="false">IFERROR((B8-B7)/B7,"")</f>
        <v>0.236363636363636</v>
      </c>
      <c r="G8" s="20" t="n">
        <f aca="false">IFERROR((C8-C7)/C7,"")</f>
        <v>0.181818181818182</v>
      </c>
      <c r="H8" s="19" t="n">
        <f aca="false">IFERROR(B8/C8,"")</f>
        <v>2.61538461538462</v>
      </c>
      <c r="I8" s="19" t="n">
        <f aca="false">IFERROR(25*(B8-MIN(INDEX($B$3:$B$72,MAX(3,ROW()-59)-3+1):B8))/(MAX(INDEX($B$3:$B$72,MAX(3,ROW()-59)-3+1):B8)-MIN(INDEX($B$3:$B$72,MAX(3,ROW()-59)-3+1):B8)),12.5)</f>
        <v>5.41666666666667</v>
      </c>
      <c r="J8" s="19" t="n">
        <f aca="false">IFERROR(25*(C8-MIN(INDEX($C$3:$C$72,MAX(3,ROW()-59)-3+1):C8))/(MAX(INDEX($C$3:$C$72,MAX(3,ROW()-59)-3+1):C8)-MIN(INDEX($C$3:$C$72,MAX(3,ROW()-59)-3+1):C8)),12.5)</f>
        <v>3.7037037037037</v>
      </c>
      <c r="K8" s="19" t="n">
        <f aca="false">IFERROR(25*(MAX(INDEX($C$3:$C$72,MAX(3,ROW()-59)-3+1):C8)-C8)/(MAX(INDEX($C$3:$C$72,MAX(3,ROW()-59)-3+1):C8)-MIN(INDEX($C$3:$C$72,MAX(3,ROW()-59)-3+1):C8)),12.5)</f>
        <v>21.2962962962963</v>
      </c>
      <c r="L8" s="19" t="n">
        <f aca="false">IFERROR(25*(MAX(INDEX($B$3:$B$72,MAX(3,ROW()-59)-3+1):B8)-B8)/(MAX(INDEX($B$3:$B$72,MAX(3,ROW()-59)-3+1):B8)-MIN(INDEX($B$3:$B$72,MAX(3,ROW()-59)-3+1):B8)),12.5)</f>
        <v>19.5833333333333</v>
      </c>
      <c r="M8" s="19" t="n">
        <f aca="false">IFERROR(I8+K8,"")</f>
        <v>26.712962962963</v>
      </c>
      <c r="N8" s="19" t="n">
        <f aca="false">IFERROR(L8+J8,"")</f>
        <v>23.287037037037</v>
      </c>
      <c r="O8" s="18" t="n">
        <f aca="false">IF(AND(ISNUMBER(B8),B8&gt;=100),1,0)</f>
        <v>0</v>
      </c>
      <c r="P8" s="18" t="n">
        <f aca="false">IF(AND(ISNUMBER(B8),ISNUMBER(B7),B8&lt;B7),1,0)</f>
        <v>0</v>
      </c>
      <c r="Q8" s="18" t="n">
        <f aca="false">IF(AND(ISNUMBER(C8),C8&gt;=100),1,0)</f>
        <v>0</v>
      </c>
      <c r="R8" s="18" t="n">
        <f aca="false">IF(AND(ISNUMBER(H8),H8&lt;1.1),1,0)</f>
        <v>0</v>
      </c>
      <c r="S8" s="18" t="n">
        <f aca="false">O8+P8+Q8+R8</f>
        <v>0</v>
      </c>
      <c r="T8" s="21" t="str">
        <f aca="false">IF(S8=4,"◎売り確定",IF(S8=3,"○警戒","-"))</f>
        <v>-</v>
      </c>
      <c r="U8" s="18" t="str">
        <f aca="false">IF(AND(ISNUMBER(D7),ISNUMBER(D8),D7&gt;0,D8&lt;=0),"転換","")</f>
        <v/>
      </c>
      <c r="V8" s="18" t="str">
        <f aca="false">IF(AND(ISNUMBER(H8),H8&lt;1),"転換","")</f>
        <v/>
      </c>
      <c r="W8" s="18" t="n">
        <f aca="false">IF(T8="◎売り確定",3,IF(T8="○警戒",1,0))</f>
        <v>0</v>
      </c>
      <c r="X8" s="18" t="n">
        <f aca="false">IF(AND(ISNUMBER(N8),N8&gt;=40),3,IF(AND(ISNUMBER(N8),N8&gt;=32),1,0))</f>
        <v>0</v>
      </c>
    </row>
    <row r="9" customFormat="false" ht="15" hidden="false" customHeight="false" outlineLevel="0" collapsed="false">
      <c r="A9" s="16" t="n">
        <f aca="false">データ!A9</f>
        <v>46133</v>
      </c>
      <c r="B9" s="17" t="n">
        <f aca="false">IFERROR(IF(データ!B9="","",データ!B9),"")</f>
        <v>82</v>
      </c>
      <c r="C9" s="17" t="n">
        <f aca="false">IFERROR(IF(データ!C9="","",データ!C9),"")</f>
        <v>35</v>
      </c>
      <c r="D9" s="18" t="n">
        <f aca="false">IFERROR(B9-C9,"")</f>
        <v>47</v>
      </c>
      <c r="E9" s="19" t="n">
        <f aca="false">IFERROR((B9-C9)/(B9+C9)*100,"")</f>
        <v>40.1709401709402</v>
      </c>
      <c r="F9" s="20" t="n">
        <f aca="false">IFERROR((B9-B8)/B8,"")</f>
        <v>0.205882352941176</v>
      </c>
      <c r="G9" s="20" t="n">
        <f aca="false">IFERROR((C9-C8)/C8,"")</f>
        <v>0.346153846153846</v>
      </c>
      <c r="H9" s="19" t="n">
        <f aca="false">IFERROR(B9/C9,"")</f>
        <v>2.34285714285714</v>
      </c>
      <c r="I9" s="19" t="n">
        <f aca="false">IFERROR(25*(B9-MIN(INDEX($B$3:$B$72,MAX(3,ROW()-59)-3+1):B9))/(MAX(INDEX($B$3:$B$72,MAX(3,ROW()-59)-3+1):B9)-MIN(INDEX($B$3:$B$72,MAX(3,ROW()-59)-3+1):B9)),12.5)</f>
        <v>11.25</v>
      </c>
      <c r="J9" s="19" t="n">
        <f aca="false">IFERROR(25*(C9-MIN(INDEX($C$3:$C$72,MAX(3,ROW()-59)-3+1):C9))/(MAX(INDEX($C$3:$C$72,MAX(3,ROW()-59)-3+1):C9)-MIN(INDEX($C$3:$C$72,MAX(3,ROW()-59)-3+1):C9)),12.5)</f>
        <v>12.037037037037</v>
      </c>
      <c r="K9" s="19" t="n">
        <f aca="false">IFERROR(25*(MAX(INDEX($C$3:$C$72,MAX(3,ROW()-59)-3+1):C9)-C9)/(MAX(INDEX($C$3:$C$72,MAX(3,ROW()-59)-3+1):C9)-MIN(INDEX($C$3:$C$72,MAX(3,ROW()-59)-3+1):C9)),12.5)</f>
        <v>12.962962962963</v>
      </c>
      <c r="L9" s="19" t="n">
        <f aca="false">IFERROR(25*(MAX(INDEX($B$3:$B$72,MAX(3,ROW()-59)-3+1):B9)-B9)/(MAX(INDEX($B$3:$B$72,MAX(3,ROW()-59)-3+1):B9)-MIN(INDEX($B$3:$B$72,MAX(3,ROW()-59)-3+1):B9)),12.5)</f>
        <v>13.75</v>
      </c>
      <c r="M9" s="19" t="n">
        <f aca="false">IFERROR(I9+K9,"")</f>
        <v>24.212962962963</v>
      </c>
      <c r="N9" s="19" t="n">
        <f aca="false">IFERROR(L9+J9,"")</f>
        <v>25.787037037037</v>
      </c>
      <c r="O9" s="18" t="n">
        <f aca="false">IF(AND(ISNUMBER(B9),B9&gt;=100),1,0)</f>
        <v>0</v>
      </c>
      <c r="P9" s="18" t="n">
        <f aca="false">IF(AND(ISNUMBER(B9),ISNUMBER(B8),B9&lt;B8),1,0)</f>
        <v>0</v>
      </c>
      <c r="Q9" s="18" t="n">
        <f aca="false">IF(AND(ISNUMBER(C9),C9&gt;=100),1,0)</f>
        <v>0</v>
      </c>
      <c r="R9" s="18" t="n">
        <f aca="false">IF(AND(ISNUMBER(H9),H9&lt;1.1),1,0)</f>
        <v>0</v>
      </c>
      <c r="S9" s="18" t="n">
        <f aca="false">O9+P9+Q9+R9</f>
        <v>0</v>
      </c>
      <c r="T9" s="21" t="str">
        <f aca="false">IF(S9=4,"◎売り確定",IF(S9=3,"○警戒","-"))</f>
        <v>-</v>
      </c>
      <c r="U9" s="18" t="str">
        <f aca="false">IF(AND(ISNUMBER(D8),ISNUMBER(D9),D8&gt;0,D9&lt;=0),"転換","")</f>
        <v/>
      </c>
      <c r="V9" s="18" t="str">
        <f aca="false">IF(AND(ISNUMBER(H9),H9&lt;1),"転換","")</f>
        <v/>
      </c>
      <c r="W9" s="18" t="n">
        <f aca="false">IF(T9="◎売り確定",3,IF(T9="○警戒",1,0))</f>
        <v>0</v>
      </c>
      <c r="X9" s="18" t="n">
        <f aca="false">IF(AND(ISNUMBER(N9),N9&gt;=40),3,IF(AND(ISNUMBER(N9),N9&gt;=32),1,0))</f>
        <v>0</v>
      </c>
    </row>
    <row r="10" customFormat="false" ht="15" hidden="false" customHeight="false" outlineLevel="0" collapsed="false">
      <c r="A10" s="16" t="n">
        <f aca="false">データ!A10</f>
        <v>46134</v>
      </c>
      <c r="B10" s="17" t="n">
        <f aca="false">IFERROR(IF(データ!B10="","",データ!B10),"")</f>
        <v>48</v>
      </c>
      <c r="C10" s="17" t="n">
        <f aca="false">IFERROR(IF(データ!C10="","",データ!C10),"")</f>
        <v>51</v>
      </c>
      <c r="D10" s="18" t="n">
        <f aca="false">IFERROR(B10-C10,"")</f>
        <v>-3</v>
      </c>
      <c r="E10" s="19" t="n">
        <f aca="false">IFERROR((B10-C10)/(B10+C10)*100,"")</f>
        <v>-3.03030303030303</v>
      </c>
      <c r="F10" s="20" t="n">
        <f aca="false">IFERROR((B10-B9)/B9,"")</f>
        <v>-0.414634146341463</v>
      </c>
      <c r="G10" s="20" t="n">
        <f aca="false">IFERROR((C10-C9)/C9,"")</f>
        <v>0.457142857142857</v>
      </c>
      <c r="H10" s="19" t="n">
        <f aca="false">IFERROR(B10/C10,"")</f>
        <v>0.941176470588235</v>
      </c>
      <c r="I10" s="19" t="n">
        <f aca="false">IFERROR(25*(B10-MIN(INDEX($B$3:$B$72,MAX(3,ROW()-59)-3+1):B10))/(MAX(INDEX($B$3:$B$72,MAX(3,ROW()-59)-3+1):B10)-MIN(INDEX($B$3:$B$72,MAX(3,ROW()-59)-3+1):B10)),12.5)</f>
        <v>0</v>
      </c>
      <c r="J10" s="19" t="n">
        <f aca="false">IFERROR(25*(C10-MIN(INDEX($C$3:$C$72,MAX(3,ROW()-59)-3+1):C10))/(MAX(INDEX($C$3:$C$72,MAX(3,ROW()-59)-3+1):C10)-MIN(INDEX($C$3:$C$72,MAX(3,ROW()-59)-3+1):C10)),12.5)</f>
        <v>25</v>
      </c>
      <c r="K10" s="19" t="n">
        <f aca="false">IFERROR(25*(MAX(INDEX($C$3:$C$72,MAX(3,ROW()-59)-3+1):C10)-C10)/(MAX(INDEX($C$3:$C$72,MAX(3,ROW()-59)-3+1):C10)-MIN(INDEX($C$3:$C$72,MAX(3,ROW()-59)-3+1):C10)),12.5)</f>
        <v>0</v>
      </c>
      <c r="L10" s="19" t="n">
        <f aca="false">IFERROR(25*(MAX(INDEX($B$3:$B$72,MAX(3,ROW()-59)-3+1):B10)-B10)/(MAX(INDEX($B$3:$B$72,MAX(3,ROW()-59)-3+1):B10)-MIN(INDEX($B$3:$B$72,MAX(3,ROW()-59)-3+1):B10)),12.5)</f>
        <v>25</v>
      </c>
      <c r="M10" s="19" t="n">
        <f aca="false">IFERROR(I10+K10,"")</f>
        <v>0</v>
      </c>
      <c r="N10" s="19" t="n">
        <f aca="false">IFERROR(L10+J10,"")</f>
        <v>50</v>
      </c>
      <c r="O10" s="18" t="n">
        <f aca="false">IF(AND(ISNUMBER(B10),B10&gt;=100),1,0)</f>
        <v>0</v>
      </c>
      <c r="P10" s="18" t="n">
        <f aca="false">IF(AND(ISNUMBER(B10),ISNUMBER(B9),B10&lt;B9),1,0)</f>
        <v>1</v>
      </c>
      <c r="Q10" s="18" t="n">
        <f aca="false">IF(AND(ISNUMBER(C10),C10&gt;=100),1,0)</f>
        <v>0</v>
      </c>
      <c r="R10" s="18" t="n">
        <f aca="false">IF(AND(ISNUMBER(H10),H10&lt;1.1),1,0)</f>
        <v>1</v>
      </c>
      <c r="S10" s="18" t="n">
        <f aca="false">O10+P10+Q10+R10</f>
        <v>2</v>
      </c>
      <c r="T10" s="21" t="str">
        <f aca="false">IF(S10=4,"◎売り確定",IF(S10=3,"○警戒","-"))</f>
        <v>-</v>
      </c>
      <c r="U10" s="18" t="str">
        <f aca="false">IF(AND(ISNUMBER(D9),ISNUMBER(D10),D9&gt;0,D10&lt;=0),"転換","")</f>
        <v>転換</v>
      </c>
      <c r="V10" s="18" t="str">
        <f aca="false">IF(AND(ISNUMBER(H10),H10&lt;1),"転換","")</f>
        <v>転換</v>
      </c>
      <c r="W10" s="18" t="n">
        <f aca="false">IF(T10="◎売り確定",3,IF(T10="○警戒",1,0))</f>
        <v>0</v>
      </c>
      <c r="X10" s="18" t="n">
        <f aca="false">IF(AND(ISNUMBER(N10),N10&gt;=40),3,IF(AND(ISNUMBER(N10),N10&gt;=32),1,0))</f>
        <v>3</v>
      </c>
    </row>
    <row r="11" customFormat="false" ht="15" hidden="false" customHeight="false" outlineLevel="0" collapsed="false">
      <c r="A11" s="16" t="n">
        <f aca="false">データ!A11</f>
        <v>46135</v>
      </c>
      <c r="B11" s="17" t="n">
        <f aca="false">IFERROR(IF(データ!B11="","",データ!B11),"")</f>
        <v>39</v>
      </c>
      <c r="C11" s="17" t="n">
        <f aca="false">IFERROR(IF(データ!C11="","",データ!C11),"")</f>
        <v>125</v>
      </c>
      <c r="D11" s="18" t="n">
        <f aca="false">IFERROR(B11-C11,"")</f>
        <v>-86</v>
      </c>
      <c r="E11" s="19" t="n">
        <f aca="false">IFERROR((B11-C11)/(B11+C11)*100,"")</f>
        <v>-52.4390243902439</v>
      </c>
      <c r="F11" s="20" t="n">
        <f aca="false">IFERROR((B11-B10)/B10,"")</f>
        <v>-0.1875</v>
      </c>
      <c r="G11" s="20" t="n">
        <f aca="false">IFERROR((C11-C10)/C10,"")</f>
        <v>1.45098039215686</v>
      </c>
      <c r="H11" s="19" t="n">
        <f aca="false">IFERROR(B11/C11,"")</f>
        <v>0.312</v>
      </c>
      <c r="I11" s="19" t="n">
        <f aca="false">IFERROR(25*(B11-MIN(INDEX($B$3:$B$72,MAX(3,ROW()-59)-3+1):B11))/(MAX(INDEX($B$3:$B$72,MAX(3,ROW()-59)-3+1):B11)-MIN(INDEX($B$3:$B$72,MAX(3,ROW()-59)-3+1):B11)),12.5)</f>
        <v>0</v>
      </c>
      <c r="J11" s="19" t="n">
        <f aca="false">IFERROR(25*(C11-MIN(INDEX($C$3:$C$72,MAX(3,ROW()-59)-3+1):C11))/(MAX(INDEX($C$3:$C$72,MAX(3,ROW()-59)-3+1):C11)-MIN(INDEX($C$3:$C$72,MAX(3,ROW()-59)-3+1):C11)),12.5)</f>
        <v>25</v>
      </c>
      <c r="K11" s="19" t="n">
        <f aca="false">IFERROR(25*(MAX(INDEX($C$3:$C$72,MAX(3,ROW()-59)-3+1):C11)-C11)/(MAX(INDEX($C$3:$C$72,MAX(3,ROW()-59)-3+1):C11)-MIN(INDEX($C$3:$C$72,MAX(3,ROW()-59)-3+1):C11)),12.5)</f>
        <v>0</v>
      </c>
      <c r="L11" s="19" t="n">
        <f aca="false">IFERROR(25*(MAX(INDEX($B$3:$B$72,MAX(3,ROW()-59)-3+1):B11)-B11)/(MAX(INDEX($B$3:$B$72,MAX(3,ROW()-59)-3+1):B11)-MIN(INDEX($B$3:$B$72,MAX(3,ROW()-59)-3+1):B11)),12.5)</f>
        <v>25</v>
      </c>
      <c r="M11" s="19" t="n">
        <f aca="false">IFERROR(I11+K11,"")</f>
        <v>0</v>
      </c>
      <c r="N11" s="19" t="n">
        <f aca="false">IFERROR(L11+J11,"")</f>
        <v>50</v>
      </c>
      <c r="O11" s="18" t="n">
        <f aca="false">IF(AND(ISNUMBER(B11),B11&gt;=100),1,0)</f>
        <v>0</v>
      </c>
      <c r="P11" s="18" t="n">
        <f aca="false">IF(AND(ISNUMBER(B11),ISNUMBER(B10),B11&lt;B10),1,0)</f>
        <v>1</v>
      </c>
      <c r="Q11" s="18" t="n">
        <f aca="false">IF(AND(ISNUMBER(C11),C11&gt;=100),1,0)</f>
        <v>1</v>
      </c>
      <c r="R11" s="18" t="n">
        <f aca="false">IF(AND(ISNUMBER(H11),H11&lt;1.1),1,0)</f>
        <v>1</v>
      </c>
      <c r="S11" s="18" t="n">
        <f aca="false">O11+P11+Q11+R11</f>
        <v>3</v>
      </c>
      <c r="T11" s="21" t="str">
        <f aca="false">IF(S11=4,"◎売り確定",IF(S11=3,"○警戒","-"))</f>
        <v>○警戒</v>
      </c>
      <c r="U11" s="18" t="str">
        <f aca="false">IF(AND(ISNUMBER(D10),ISNUMBER(D11),D10&gt;0,D11&lt;=0),"転換","")</f>
        <v/>
      </c>
      <c r="V11" s="18" t="str">
        <f aca="false">IF(AND(ISNUMBER(H11),H11&lt;1),"転換","")</f>
        <v>転換</v>
      </c>
      <c r="W11" s="18" t="n">
        <f aca="false">IF(T11="◎売り確定",3,IF(T11="○警戒",1,0))</f>
        <v>1</v>
      </c>
      <c r="X11" s="18" t="n">
        <f aca="false">IF(AND(ISNUMBER(N11),N11&gt;=40),3,IF(AND(ISNUMBER(N11),N11&gt;=32),1,0))</f>
        <v>3</v>
      </c>
    </row>
    <row r="12" customFormat="false" ht="15" hidden="false" customHeight="false" outlineLevel="0" collapsed="false">
      <c r="A12" s="16" t="n">
        <f aca="false">データ!A12</f>
        <v>46136</v>
      </c>
      <c r="B12" s="17" t="n">
        <f aca="false">IFERROR(IF(データ!B12="","",データ!B12),"")</f>
        <v>47</v>
      </c>
      <c r="C12" s="17" t="n">
        <f aca="false">IFERROR(IF(データ!C12="","",データ!C12),"")</f>
        <v>120</v>
      </c>
      <c r="D12" s="18" t="n">
        <f aca="false">IFERROR(B12-C12,"")</f>
        <v>-73</v>
      </c>
      <c r="E12" s="19" t="n">
        <f aca="false">IFERROR((B12-C12)/(B12+C12)*100,"")</f>
        <v>-43.7125748502994</v>
      </c>
      <c r="F12" s="20" t="n">
        <f aca="false">IFERROR((B12-B11)/B11,"")</f>
        <v>0.205128205128205</v>
      </c>
      <c r="G12" s="20" t="n">
        <f aca="false">IFERROR((C12-C11)/C11,"")</f>
        <v>-0.04</v>
      </c>
      <c r="H12" s="19" t="n">
        <f aca="false">IFERROR(B12/C12,"")</f>
        <v>0.391666666666667</v>
      </c>
      <c r="I12" s="19" t="n">
        <f aca="false">IFERROR(25*(B12-MIN(INDEX($B$3:$B$72,MAX(3,ROW()-59)-3+1):B12))/(MAX(INDEX($B$3:$B$72,MAX(3,ROW()-59)-3+1):B12)-MIN(INDEX($B$3:$B$72,MAX(3,ROW()-59)-3+1):B12)),12.5)</f>
        <v>2.63157894736842</v>
      </c>
      <c r="J12" s="19" t="n">
        <f aca="false">IFERROR(25*(C12-MIN(INDEX($C$3:$C$72,MAX(3,ROW()-59)-3+1):C12))/(MAX(INDEX($C$3:$C$72,MAX(3,ROW()-59)-3+1):C12)-MIN(INDEX($C$3:$C$72,MAX(3,ROW()-59)-3+1):C12)),12.5)</f>
        <v>23.7864077669903</v>
      </c>
      <c r="K12" s="19" t="n">
        <f aca="false">IFERROR(25*(MAX(INDEX($C$3:$C$72,MAX(3,ROW()-59)-3+1):C12)-C12)/(MAX(INDEX($C$3:$C$72,MAX(3,ROW()-59)-3+1):C12)-MIN(INDEX($C$3:$C$72,MAX(3,ROW()-59)-3+1):C12)),12.5)</f>
        <v>1.21359223300971</v>
      </c>
      <c r="L12" s="19" t="n">
        <f aca="false">IFERROR(25*(MAX(INDEX($B$3:$B$72,MAX(3,ROW()-59)-3+1):B12)-B12)/(MAX(INDEX($B$3:$B$72,MAX(3,ROW()-59)-3+1):B12)-MIN(INDEX($B$3:$B$72,MAX(3,ROW()-59)-3+1):B12)),12.5)</f>
        <v>22.3684210526316</v>
      </c>
      <c r="M12" s="19" t="n">
        <f aca="false">IFERROR(I12+K12,"")</f>
        <v>3.84517118037813</v>
      </c>
      <c r="N12" s="19" t="n">
        <f aca="false">IFERROR(L12+J12,"")</f>
        <v>46.1548288196219</v>
      </c>
      <c r="O12" s="18" t="n">
        <f aca="false">IF(AND(ISNUMBER(B12),B12&gt;=100),1,0)</f>
        <v>0</v>
      </c>
      <c r="P12" s="18" t="n">
        <f aca="false">IF(AND(ISNUMBER(B12),ISNUMBER(B11),B12&lt;B11),1,0)</f>
        <v>0</v>
      </c>
      <c r="Q12" s="18" t="n">
        <f aca="false">IF(AND(ISNUMBER(C12),C12&gt;=100),1,0)</f>
        <v>1</v>
      </c>
      <c r="R12" s="18" t="n">
        <f aca="false">IF(AND(ISNUMBER(H12),H12&lt;1.1),1,0)</f>
        <v>1</v>
      </c>
      <c r="S12" s="18" t="n">
        <f aca="false">O12+P12+Q12+R12</f>
        <v>2</v>
      </c>
      <c r="T12" s="21" t="str">
        <f aca="false">IF(S12=4,"◎売り確定",IF(S12=3,"○警戒","-"))</f>
        <v>-</v>
      </c>
      <c r="U12" s="18" t="str">
        <f aca="false">IF(AND(ISNUMBER(D11),ISNUMBER(D12),D11&gt;0,D12&lt;=0),"転換","")</f>
        <v/>
      </c>
      <c r="V12" s="18" t="str">
        <f aca="false">IF(AND(ISNUMBER(H12),H12&lt;1),"転換","")</f>
        <v>転換</v>
      </c>
      <c r="W12" s="18" t="n">
        <f aca="false">IF(T12="◎売り確定",3,IF(T12="○警戒",1,0))</f>
        <v>0</v>
      </c>
      <c r="X12" s="18" t="n">
        <f aca="false">IF(AND(ISNUMBER(N12),N12&gt;=40),3,IF(AND(ISNUMBER(N12),N12&gt;=32),1,0))</f>
        <v>3</v>
      </c>
    </row>
    <row r="13" customFormat="false" ht="15" hidden="false" customHeight="false" outlineLevel="0" collapsed="false">
      <c r="A13" s="16" t="n">
        <f aca="false">データ!A13</f>
        <v>46139</v>
      </c>
      <c r="B13" s="17" t="n">
        <f aca="false">IFERROR(IF(データ!B13="","",データ!B13),"")</f>
        <v>60</v>
      </c>
      <c r="C13" s="17" t="n">
        <f aca="false">IFERROR(IF(データ!C13="","",データ!C13),"")</f>
        <v>144</v>
      </c>
      <c r="D13" s="18" t="n">
        <f aca="false">IFERROR(B13-C13,"")</f>
        <v>-84</v>
      </c>
      <c r="E13" s="19" t="n">
        <f aca="false">IFERROR((B13-C13)/(B13+C13)*100,"")</f>
        <v>-41.1764705882353</v>
      </c>
      <c r="F13" s="20" t="n">
        <f aca="false">IFERROR((B13-B12)/B12,"")</f>
        <v>0.276595744680851</v>
      </c>
      <c r="G13" s="20" t="n">
        <f aca="false">IFERROR((C13-C12)/C12,"")</f>
        <v>0.2</v>
      </c>
      <c r="H13" s="19" t="n">
        <f aca="false">IFERROR(B13/C13,"")</f>
        <v>0.416666666666667</v>
      </c>
      <c r="I13" s="19" t="n">
        <f aca="false">IFERROR(25*(B13-MIN(INDEX($B$3:$B$72,MAX(3,ROW()-59)-3+1):B13))/(MAX(INDEX($B$3:$B$72,MAX(3,ROW()-59)-3+1):B13)-MIN(INDEX($B$3:$B$72,MAX(3,ROW()-59)-3+1):B13)),12.5)</f>
        <v>6.90789473684211</v>
      </c>
      <c r="J13" s="19" t="n">
        <f aca="false">IFERROR(25*(C13-MIN(INDEX($C$3:$C$72,MAX(3,ROW()-59)-3+1):C13))/(MAX(INDEX($C$3:$C$72,MAX(3,ROW()-59)-3+1):C13)-MIN(INDEX($C$3:$C$72,MAX(3,ROW()-59)-3+1):C13)),12.5)</f>
        <v>25</v>
      </c>
      <c r="K13" s="19" t="n">
        <f aca="false">IFERROR(25*(MAX(INDEX($C$3:$C$72,MAX(3,ROW()-59)-3+1):C13)-C13)/(MAX(INDEX($C$3:$C$72,MAX(3,ROW()-59)-3+1):C13)-MIN(INDEX($C$3:$C$72,MAX(3,ROW()-59)-3+1):C13)),12.5)</f>
        <v>0</v>
      </c>
      <c r="L13" s="19" t="n">
        <f aca="false">IFERROR(25*(MAX(INDEX($B$3:$B$72,MAX(3,ROW()-59)-3+1):B13)-B13)/(MAX(INDEX($B$3:$B$72,MAX(3,ROW()-59)-3+1):B13)-MIN(INDEX($B$3:$B$72,MAX(3,ROW()-59)-3+1):B13)),12.5)</f>
        <v>18.0921052631579</v>
      </c>
      <c r="M13" s="19" t="n">
        <f aca="false">IFERROR(I13+K13,"")</f>
        <v>6.90789473684211</v>
      </c>
      <c r="N13" s="19" t="n">
        <f aca="false">IFERROR(L13+J13,"")</f>
        <v>43.0921052631579</v>
      </c>
      <c r="O13" s="18" t="n">
        <f aca="false">IF(AND(ISNUMBER(B13),B13&gt;=100),1,0)</f>
        <v>0</v>
      </c>
      <c r="P13" s="18" t="n">
        <f aca="false">IF(AND(ISNUMBER(B13),ISNUMBER(B12),B13&lt;B12),1,0)</f>
        <v>0</v>
      </c>
      <c r="Q13" s="18" t="n">
        <f aca="false">IF(AND(ISNUMBER(C13),C13&gt;=100),1,0)</f>
        <v>1</v>
      </c>
      <c r="R13" s="18" t="n">
        <f aca="false">IF(AND(ISNUMBER(H13),H13&lt;1.1),1,0)</f>
        <v>1</v>
      </c>
      <c r="S13" s="18" t="n">
        <f aca="false">O13+P13+Q13+R13</f>
        <v>2</v>
      </c>
      <c r="T13" s="21" t="str">
        <f aca="false">IF(S13=4,"◎売り確定",IF(S13=3,"○警戒","-"))</f>
        <v>-</v>
      </c>
      <c r="U13" s="18" t="str">
        <f aca="false">IF(AND(ISNUMBER(D12),ISNUMBER(D13),D12&gt;0,D13&lt;=0),"転換","")</f>
        <v/>
      </c>
      <c r="V13" s="18" t="str">
        <f aca="false">IF(AND(ISNUMBER(H13),H13&lt;1),"転換","")</f>
        <v>転換</v>
      </c>
      <c r="W13" s="18" t="n">
        <f aca="false">IF(T13="◎売り確定",3,IF(T13="○警戒",1,0))</f>
        <v>0</v>
      </c>
      <c r="X13" s="18" t="n">
        <f aca="false">IF(AND(ISNUMBER(N13),N13&gt;=40),3,IF(AND(ISNUMBER(N13),N13&gt;=32),1,0))</f>
        <v>3</v>
      </c>
    </row>
    <row r="14" customFormat="false" ht="15" hidden="false" customHeight="false" outlineLevel="0" collapsed="false">
      <c r="A14" s="16" t="n">
        <f aca="false">データ!A14</f>
        <v>46140</v>
      </c>
      <c r="B14" s="17" t="n">
        <f aca="false">IFERROR(IF(データ!B14="","",データ!B14),"")</f>
        <v>58</v>
      </c>
      <c r="C14" s="17" t="n">
        <f aca="false">IFERROR(IF(データ!C14="","",データ!C14),"")</f>
        <v>91</v>
      </c>
      <c r="D14" s="18" t="n">
        <f aca="false">IFERROR(B14-C14,"")</f>
        <v>-33</v>
      </c>
      <c r="E14" s="19" t="n">
        <f aca="false">IFERROR((B14-C14)/(B14+C14)*100,"")</f>
        <v>-22.1476510067114</v>
      </c>
      <c r="F14" s="20" t="n">
        <f aca="false">IFERROR((B14-B13)/B13,"")</f>
        <v>-0.0333333333333333</v>
      </c>
      <c r="G14" s="20" t="n">
        <f aca="false">IFERROR((C14-C13)/C13,"")</f>
        <v>-0.368055555555556</v>
      </c>
      <c r="H14" s="19" t="n">
        <f aca="false">IFERROR(B14/C14,"")</f>
        <v>0.637362637362637</v>
      </c>
      <c r="I14" s="19" t="n">
        <f aca="false">IFERROR(25*(B14-MIN(INDEX($B$3:$B$72,MAX(3,ROW()-59)-3+1):B14))/(MAX(INDEX($B$3:$B$72,MAX(3,ROW()-59)-3+1):B14)-MIN(INDEX($B$3:$B$72,MAX(3,ROW()-59)-3+1):B14)),12.5)</f>
        <v>6.25</v>
      </c>
      <c r="J14" s="19" t="n">
        <f aca="false">IFERROR(25*(C14-MIN(INDEX($C$3:$C$72,MAX(3,ROW()-59)-3+1):C14))/(MAX(INDEX($C$3:$C$72,MAX(3,ROW()-59)-3+1):C14)-MIN(INDEX($C$3:$C$72,MAX(3,ROW()-59)-3+1):C14)),12.5)</f>
        <v>14.1393442622951</v>
      </c>
      <c r="K14" s="19" t="n">
        <f aca="false">IFERROR(25*(MAX(INDEX($C$3:$C$72,MAX(3,ROW()-59)-3+1):C14)-C14)/(MAX(INDEX($C$3:$C$72,MAX(3,ROW()-59)-3+1):C14)-MIN(INDEX($C$3:$C$72,MAX(3,ROW()-59)-3+1):C14)),12.5)</f>
        <v>10.8606557377049</v>
      </c>
      <c r="L14" s="19" t="n">
        <f aca="false">IFERROR(25*(MAX(INDEX($B$3:$B$72,MAX(3,ROW()-59)-3+1):B14)-B14)/(MAX(INDEX($B$3:$B$72,MAX(3,ROW()-59)-3+1):B14)-MIN(INDEX($B$3:$B$72,MAX(3,ROW()-59)-3+1):B14)),12.5)</f>
        <v>18.75</v>
      </c>
      <c r="M14" s="19" t="n">
        <f aca="false">IFERROR(I14+K14,"")</f>
        <v>17.1106557377049</v>
      </c>
      <c r="N14" s="19" t="n">
        <f aca="false">IFERROR(L14+J14,"")</f>
        <v>32.8893442622951</v>
      </c>
      <c r="O14" s="18" t="n">
        <f aca="false">IF(AND(ISNUMBER(B14),B14&gt;=100),1,0)</f>
        <v>0</v>
      </c>
      <c r="P14" s="18" t="n">
        <f aca="false">IF(AND(ISNUMBER(B14),ISNUMBER(B13),B14&lt;B13),1,0)</f>
        <v>1</v>
      </c>
      <c r="Q14" s="18" t="n">
        <f aca="false">IF(AND(ISNUMBER(C14),C14&gt;=100),1,0)</f>
        <v>0</v>
      </c>
      <c r="R14" s="18" t="n">
        <f aca="false">IF(AND(ISNUMBER(H14),H14&lt;1.1),1,0)</f>
        <v>1</v>
      </c>
      <c r="S14" s="18" t="n">
        <f aca="false">O14+P14+Q14+R14</f>
        <v>2</v>
      </c>
      <c r="T14" s="21" t="str">
        <f aca="false">IF(S14=4,"◎売り確定",IF(S14=3,"○警戒","-"))</f>
        <v>-</v>
      </c>
      <c r="U14" s="18" t="str">
        <f aca="false">IF(AND(ISNUMBER(D13),ISNUMBER(D14),D13&gt;0,D14&lt;=0),"転換","")</f>
        <v/>
      </c>
      <c r="V14" s="18" t="str">
        <f aca="false">IF(AND(ISNUMBER(H14),H14&lt;1),"転換","")</f>
        <v>転換</v>
      </c>
      <c r="W14" s="18" t="n">
        <f aca="false">IF(T14="◎売り確定",3,IF(T14="○警戒",1,0))</f>
        <v>0</v>
      </c>
      <c r="X14" s="18" t="n">
        <f aca="false">IF(AND(ISNUMBER(N14),N14&gt;=40),3,IF(AND(ISNUMBER(N14),N14&gt;=32),1,0))</f>
        <v>1</v>
      </c>
    </row>
    <row r="15" customFormat="false" ht="15" hidden="false" customHeight="false" outlineLevel="0" collapsed="false">
      <c r="A15" s="16" t="n">
        <f aca="false">データ!A15</f>
        <v>46141</v>
      </c>
      <c r="B15" s="18" t="str">
        <f aca="false">IFERROR(IF(データ!B15="","",データ!B15),"")</f>
        <v/>
      </c>
      <c r="C15" s="18" t="str">
        <f aca="false">IFERROR(IF(データ!C15="","",データ!C15),"")</f>
        <v/>
      </c>
      <c r="D15" s="18" t="str">
        <f aca="false">IFERROR(B15-C15,"")</f>
        <v/>
      </c>
      <c r="E15" s="19" t="str">
        <f aca="false">IFERROR((B15-C15)/(B15+C15)*100,"")</f>
        <v/>
      </c>
      <c r="F15" s="20" t="str">
        <f aca="false">IFERROR((B15-B14)/B14,"")</f>
        <v/>
      </c>
      <c r="G15" s="20" t="str">
        <f aca="false">IFERROR((C15-C14)/C14,"")</f>
        <v/>
      </c>
      <c r="H15" s="19" t="str">
        <f aca="false">IFERROR(B15/C15,"")</f>
        <v/>
      </c>
      <c r="I15" s="19" t="n">
        <f aca="false">IFERROR(25*(B15-MIN(INDEX($B$3:$B$72,MAX(3,ROW()-59)-3+1):B15))/(MAX(INDEX($B$3:$B$72,MAX(3,ROW()-59)-3+1):B15)-MIN(INDEX($B$3:$B$72,MAX(3,ROW()-59)-3+1):B15)),12.5)</f>
        <v>12.5</v>
      </c>
      <c r="J15" s="19" t="n">
        <f aca="false">IFERROR(25*(C15-MIN(INDEX($C$3:$C$72,MAX(3,ROW()-59)-3+1):C15))/(MAX(INDEX($C$3:$C$72,MAX(3,ROW()-59)-3+1):C15)-MIN(INDEX($C$3:$C$72,MAX(3,ROW()-59)-3+1):C15)),12.5)</f>
        <v>12.5</v>
      </c>
      <c r="K15" s="19" t="n">
        <f aca="false">IFERROR(25*(MAX(INDEX($C$3:$C$72,MAX(3,ROW()-59)-3+1):C15)-C15)/(MAX(INDEX($C$3:$C$72,MAX(3,ROW()-59)-3+1):C15)-MIN(INDEX($C$3:$C$72,MAX(3,ROW()-59)-3+1):C15)),12.5)</f>
        <v>12.5</v>
      </c>
      <c r="L15" s="19" t="n">
        <f aca="false">IFERROR(25*(MAX(INDEX($B$3:$B$72,MAX(3,ROW()-59)-3+1):B15)-B15)/(MAX(INDEX($B$3:$B$72,MAX(3,ROW()-59)-3+1):B15)-MIN(INDEX($B$3:$B$72,MAX(3,ROW()-59)-3+1):B15)),12.5)</f>
        <v>12.5</v>
      </c>
      <c r="M15" s="19" t="n">
        <f aca="false">IFERROR(I15+K15,"")</f>
        <v>25</v>
      </c>
      <c r="N15" s="19" t="n">
        <f aca="false">IFERROR(L15+J15,"")</f>
        <v>25</v>
      </c>
      <c r="O15" s="18" t="n">
        <f aca="false">IF(AND(ISNUMBER(B15),B15&gt;=100),1,0)</f>
        <v>0</v>
      </c>
      <c r="P15" s="18" t="n">
        <f aca="false">IF(AND(ISNUMBER(B15),ISNUMBER(B14),B15&lt;B14),1,0)</f>
        <v>0</v>
      </c>
      <c r="Q15" s="18" t="n">
        <f aca="false">IF(AND(ISNUMBER(C15),C15&gt;=100),1,0)</f>
        <v>0</v>
      </c>
      <c r="R15" s="18" t="n">
        <f aca="false">IF(AND(ISNUMBER(H15),H15&lt;1.1),1,0)</f>
        <v>0</v>
      </c>
      <c r="S15" s="18" t="n">
        <f aca="false">O15+P15+Q15+R15</f>
        <v>0</v>
      </c>
      <c r="T15" s="21" t="str">
        <f aca="false">IF(S15=4,"◎売り確定",IF(S15=3,"○警戒","-"))</f>
        <v>-</v>
      </c>
      <c r="U15" s="18" t="str">
        <f aca="false">IF(AND(ISNUMBER(D14),ISNUMBER(D15),D14&gt;0,D15&lt;=0),"転換","")</f>
        <v/>
      </c>
      <c r="V15" s="18" t="str">
        <f aca="false">IF(AND(ISNUMBER(H15),H15&lt;1),"転換","")</f>
        <v/>
      </c>
      <c r="W15" s="18" t="n">
        <f aca="false">IF(T15="◎売り確定",3,IF(T15="○警戒",1,0))</f>
        <v>0</v>
      </c>
      <c r="X15" s="18" t="n">
        <f aca="false">IF(AND(ISNUMBER(N15),N15&gt;=40),3,IF(AND(ISNUMBER(N15),N15&gt;=32),1,0))</f>
        <v>0</v>
      </c>
    </row>
    <row r="16" customFormat="false" ht="15" hidden="false" customHeight="false" outlineLevel="0" collapsed="false">
      <c r="A16" s="16" t="n">
        <f aca="false">データ!A16</f>
        <v>46142</v>
      </c>
      <c r="B16" s="17" t="n">
        <f aca="false">IFERROR(IF(データ!B16="","",データ!B16),"")</f>
        <v>74</v>
      </c>
      <c r="C16" s="17" t="n">
        <f aca="false">IFERROR(IF(データ!C16="","",データ!C16),"")</f>
        <v>130</v>
      </c>
      <c r="D16" s="18" t="n">
        <f aca="false">IFERROR(B16-C16,"")</f>
        <v>-56</v>
      </c>
      <c r="E16" s="19" t="n">
        <f aca="false">IFERROR((B16-C16)/(B16+C16)*100,"")</f>
        <v>-27.4509803921569</v>
      </c>
      <c r="F16" s="20" t="str">
        <f aca="false">IFERROR((B16-B15)/B15,"")</f>
        <v/>
      </c>
      <c r="G16" s="20" t="str">
        <f aca="false">IFERROR((C16-C15)/C15,"")</f>
        <v/>
      </c>
      <c r="H16" s="19" t="n">
        <f aca="false">IFERROR(B16/C16,"")</f>
        <v>0.569230769230769</v>
      </c>
      <c r="I16" s="19" t="n">
        <f aca="false">IFERROR(25*(B16-MIN(INDEX($B$3:$B$72,MAX(3,ROW()-59)-3+1):B16))/(MAX(INDEX($B$3:$B$72,MAX(3,ROW()-59)-3+1):B16)-MIN(INDEX($B$3:$B$72,MAX(3,ROW()-59)-3+1):B16)),12.5)</f>
        <v>11.5131578947368</v>
      </c>
      <c r="J16" s="19" t="n">
        <f aca="false">IFERROR(25*(C16-MIN(INDEX($C$3:$C$72,MAX(3,ROW()-59)-3+1):C16))/(MAX(INDEX($C$3:$C$72,MAX(3,ROW()-59)-3+1):C16)-MIN(INDEX($C$3:$C$72,MAX(3,ROW()-59)-3+1):C16)),12.5)</f>
        <v>22.1311475409836</v>
      </c>
      <c r="K16" s="19" t="n">
        <f aca="false">IFERROR(25*(MAX(INDEX($C$3:$C$72,MAX(3,ROW()-59)-3+1):C16)-C16)/(MAX(INDEX($C$3:$C$72,MAX(3,ROW()-59)-3+1):C16)-MIN(INDEX($C$3:$C$72,MAX(3,ROW()-59)-3+1):C16)),12.5)</f>
        <v>2.86885245901639</v>
      </c>
      <c r="L16" s="19" t="n">
        <f aca="false">IFERROR(25*(MAX(INDEX($B$3:$B$72,MAX(3,ROW()-59)-3+1):B16)-B16)/(MAX(INDEX($B$3:$B$72,MAX(3,ROW()-59)-3+1):B16)-MIN(INDEX($B$3:$B$72,MAX(3,ROW()-59)-3+1):B16)),12.5)</f>
        <v>13.4868421052632</v>
      </c>
      <c r="M16" s="19" t="n">
        <f aca="false">IFERROR(I16+K16,"")</f>
        <v>14.3820103537532</v>
      </c>
      <c r="N16" s="19" t="n">
        <f aca="false">IFERROR(L16+J16,"")</f>
        <v>35.6179896462468</v>
      </c>
      <c r="O16" s="18" t="n">
        <f aca="false">IF(AND(ISNUMBER(B16),B16&gt;=100),1,0)</f>
        <v>0</v>
      </c>
      <c r="P16" s="18" t="n">
        <f aca="false">IF(AND(ISNUMBER(B16),ISNUMBER(B15),B16&lt;B15),1,0)</f>
        <v>0</v>
      </c>
      <c r="Q16" s="18" t="n">
        <f aca="false">IF(AND(ISNUMBER(C16),C16&gt;=100),1,0)</f>
        <v>1</v>
      </c>
      <c r="R16" s="18" t="n">
        <f aca="false">IF(AND(ISNUMBER(H16),H16&lt;1.1),1,0)</f>
        <v>1</v>
      </c>
      <c r="S16" s="18" t="n">
        <f aca="false">O16+P16+Q16+R16</f>
        <v>2</v>
      </c>
      <c r="T16" s="21" t="str">
        <f aca="false">IF(S16=4,"◎売り確定",IF(S16=3,"○警戒","-"))</f>
        <v>-</v>
      </c>
      <c r="U16" s="18" t="str">
        <f aca="false">IF(AND(ISNUMBER(D15),ISNUMBER(D16),D15&gt;0,D16&lt;=0),"転換","")</f>
        <v/>
      </c>
      <c r="V16" s="18" t="str">
        <f aca="false">IF(AND(ISNUMBER(H16),H16&lt;1),"転換","")</f>
        <v>転換</v>
      </c>
      <c r="W16" s="18" t="n">
        <f aca="false">IF(T16="◎売り確定",3,IF(T16="○警戒",1,0))</f>
        <v>0</v>
      </c>
      <c r="X16" s="18" t="n">
        <f aca="false">IF(AND(ISNUMBER(N16),N16&gt;=40),3,IF(AND(ISNUMBER(N16),N16&gt;=32),1,0))</f>
        <v>1</v>
      </c>
    </row>
    <row r="17" customFormat="false" ht="15" hidden="false" customHeight="false" outlineLevel="0" collapsed="false">
      <c r="A17" s="16" t="n">
        <f aca="false">データ!A17</f>
        <v>46143</v>
      </c>
      <c r="B17" s="17" t="n">
        <f aca="false">IFERROR(IF(データ!B17="","",データ!B17),"")</f>
        <v>60</v>
      </c>
      <c r="C17" s="17" t="n">
        <f aca="false">IFERROR(IF(データ!C17="","",データ!C17),"")</f>
        <v>146</v>
      </c>
      <c r="D17" s="18" t="n">
        <f aca="false">IFERROR(B17-C17,"")</f>
        <v>-86</v>
      </c>
      <c r="E17" s="19" t="n">
        <f aca="false">IFERROR((B17-C17)/(B17+C17)*100,"")</f>
        <v>-41.747572815534</v>
      </c>
      <c r="F17" s="20" t="n">
        <f aca="false">IFERROR((B17-B16)/B16,"")</f>
        <v>-0.189189189189189</v>
      </c>
      <c r="G17" s="20" t="n">
        <f aca="false">IFERROR((C17-C16)/C16,"")</f>
        <v>0.123076923076923</v>
      </c>
      <c r="H17" s="19" t="n">
        <f aca="false">IFERROR(B17/C17,"")</f>
        <v>0.410958904109589</v>
      </c>
      <c r="I17" s="19" t="n">
        <f aca="false">IFERROR(25*(B17-MIN(INDEX($B$3:$B$72,MAX(3,ROW()-59)-3+1):B17))/(MAX(INDEX($B$3:$B$72,MAX(3,ROW()-59)-3+1):B17)-MIN(INDEX($B$3:$B$72,MAX(3,ROW()-59)-3+1):B17)),12.5)</f>
        <v>6.90789473684211</v>
      </c>
      <c r="J17" s="19" t="n">
        <f aca="false">IFERROR(25*(C17-MIN(INDEX($C$3:$C$72,MAX(3,ROW()-59)-3+1):C17))/(MAX(INDEX($C$3:$C$72,MAX(3,ROW()-59)-3+1):C17)-MIN(INDEX($C$3:$C$72,MAX(3,ROW()-59)-3+1):C17)),12.5)</f>
        <v>25</v>
      </c>
      <c r="K17" s="19" t="n">
        <f aca="false">IFERROR(25*(MAX(INDEX($C$3:$C$72,MAX(3,ROW()-59)-3+1):C17)-C17)/(MAX(INDEX($C$3:$C$72,MAX(3,ROW()-59)-3+1):C17)-MIN(INDEX($C$3:$C$72,MAX(3,ROW()-59)-3+1):C17)),12.5)</f>
        <v>0</v>
      </c>
      <c r="L17" s="19" t="n">
        <f aca="false">IFERROR(25*(MAX(INDEX($B$3:$B$72,MAX(3,ROW()-59)-3+1):B17)-B17)/(MAX(INDEX($B$3:$B$72,MAX(3,ROW()-59)-3+1):B17)-MIN(INDEX($B$3:$B$72,MAX(3,ROW()-59)-3+1):B17)),12.5)</f>
        <v>18.0921052631579</v>
      </c>
      <c r="M17" s="19" t="n">
        <f aca="false">IFERROR(I17+K17,"")</f>
        <v>6.90789473684211</v>
      </c>
      <c r="N17" s="19" t="n">
        <f aca="false">IFERROR(L17+J17,"")</f>
        <v>43.0921052631579</v>
      </c>
      <c r="O17" s="18" t="n">
        <f aca="false">IF(AND(ISNUMBER(B17),B17&gt;=100),1,0)</f>
        <v>0</v>
      </c>
      <c r="P17" s="18" t="n">
        <f aca="false">IF(AND(ISNUMBER(B17),ISNUMBER(B16),B17&lt;B16),1,0)</f>
        <v>1</v>
      </c>
      <c r="Q17" s="18" t="n">
        <f aca="false">IF(AND(ISNUMBER(C17),C17&gt;=100),1,0)</f>
        <v>1</v>
      </c>
      <c r="R17" s="18" t="n">
        <f aca="false">IF(AND(ISNUMBER(H17),H17&lt;1.1),1,0)</f>
        <v>1</v>
      </c>
      <c r="S17" s="18" t="n">
        <f aca="false">O17+P17+Q17+R17</f>
        <v>3</v>
      </c>
      <c r="T17" s="21" t="str">
        <f aca="false">IF(S17=4,"◎売り確定",IF(S17=3,"○警戒","-"))</f>
        <v>○警戒</v>
      </c>
      <c r="U17" s="18" t="str">
        <f aca="false">IF(AND(ISNUMBER(D16),ISNUMBER(D17),D16&gt;0,D17&lt;=0),"転換","")</f>
        <v/>
      </c>
      <c r="V17" s="18" t="str">
        <f aca="false">IF(AND(ISNUMBER(H17),H17&lt;1),"転換","")</f>
        <v>転換</v>
      </c>
      <c r="W17" s="18" t="n">
        <f aca="false">IF(T17="◎売り確定",3,IF(T17="○警戒",1,0))</f>
        <v>1</v>
      </c>
      <c r="X17" s="18" t="n">
        <f aca="false">IF(AND(ISNUMBER(N17),N17&gt;=40),3,IF(AND(ISNUMBER(N17),N17&gt;=32),1,0))</f>
        <v>3</v>
      </c>
    </row>
    <row r="18" customFormat="false" ht="15" hidden="false" customHeight="false" outlineLevel="0" collapsed="false">
      <c r="A18" s="16" t="n">
        <f aca="false">データ!A18</f>
        <v>46146</v>
      </c>
      <c r="B18" s="18" t="str">
        <f aca="false">IFERROR(IF(データ!B18="","",データ!B18),"")</f>
        <v/>
      </c>
      <c r="C18" s="18" t="str">
        <f aca="false">IFERROR(IF(データ!C18="","",データ!C18),"")</f>
        <v/>
      </c>
      <c r="D18" s="18" t="str">
        <f aca="false">IFERROR(B18-C18,"")</f>
        <v/>
      </c>
      <c r="E18" s="19" t="str">
        <f aca="false">IFERROR((B18-C18)/(B18+C18)*100,"")</f>
        <v/>
      </c>
      <c r="F18" s="20" t="str">
        <f aca="false">IFERROR((B18-B17)/B17,"")</f>
        <v/>
      </c>
      <c r="G18" s="20" t="str">
        <f aca="false">IFERROR((C18-C17)/C17,"")</f>
        <v/>
      </c>
      <c r="H18" s="19" t="str">
        <f aca="false">IFERROR(B18/C18,"")</f>
        <v/>
      </c>
      <c r="I18" s="19" t="n">
        <f aca="false">IFERROR(25*(B18-MIN(INDEX($B$3:$B$72,MAX(3,ROW()-59)-3+1):B18))/(MAX(INDEX($B$3:$B$72,MAX(3,ROW()-59)-3+1):B18)-MIN(INDEX($B$3:$B$72,MAX(3,ROW()-59)-3+1):B18)),12.5)</f>
        <v>12.5</v>
      </c>
      <c r="J18" s="19" t="n">
        <f aca="false">IFERROR(25*(C18-MIN(INDEX($C$3:$C$72,MAX(3,ROW()-59)-3+1):C18))/(MAX(INDEX($C$3:$C$72,MAX(3,ROW()-59)-3+1):C18)-MIN(INDEX($C$3:$C$72,MAX(3,ROW()-59)-3+1):C18)),12.5)</f>
        <v>12.5</v>
      </c>
      <c r="K18" s="19" t="n">
        <f aca="false">IFERROR(25*(MAX(INDEX($C$3:$C$72,MAX(3,ROW()-59)-3+1):C18)-C18)/(MAX(INDEX($C$3:$C$72,MAX(3,ROW()-59)-3+1):C18)-MIN(INDEX($C$3:$C$72,MAX(3,ROW()-59)-3+1):C18)),12.5)</f>
        <v>12.5</v>
      </c>
      <c r="L18" s="19" t="n">
        <f aca="false">IFERROR(25*(MAX(INDEX($B$3:$B$72,MAX(3,ROW()-59)-3+1):B18)-B18)/(MAX(INDEX($B$3:$B$72,MAX(3,ROW()-59)-3+1):B18)-MIN(INDEX($B$3:$B$72,MAX(3,ROW()-59)-3+1):B18)),12.5)</f>
        <v>12.5</v>
      </c>
      <c r="M18" s="19" t="n">
        <f aca="false">IFERROR(I18+K18,"")</f>
        <v>25</v>
      </c>
      <c r="N18" s="19" t="n">
        <f aca="false">IFERROR(L18+J18,"")</f>
        <v>25</v>
      </c>
      <c r="O18" s="18" t="n">
        <f aca="false">IF(AND(ISNUMBER(B18),B18&gt;=100),1,0)</f>
        <v>0</v>
      </c>
      <c r="P18" s="18" t="n">
        <f aca="false">IF(AND(ISNUMBER(B18),ISNUMBER(B17),B18&lt;B17),1,0)</f>
        <v>0</v>
      </c>
      <c r="Q18" s="18" t="n">
        <f aca="false">IF(AND(ISNUMBER(C18),C18&gt;=100),1,0)</f>
        <v>0</v>
      </c>
      <c r="R18" s="18" t="n">
        <f aca="false">IF(AND(ISNUMBER(H18),H18&lt;1.1),1,0)</f>
        <v>0</v>
      </c>
      <c r="S18" s="18" t="n">
        <f aca="false">O18+P18+Q18+R18</f>
        <v>0</v>
      </c>
      <c r="T18" s="21" t="str">
        <f aca="false">IF(S18=4,"◎売り確定",IF(S18=3,"○警戒","-"))</f>
        <v>-</v>
      </c>
      <c r="U18" s="18" t="str">
        <f aca="false">IF(AND(ISNUMBER(D17),ISNUMBER(D18),D17&gt;0,D18&lt;=0),"転換","")</f>
        <v/>
      </c>
      <c r="V18" s="18" t="str">
        <f aca="false">IF(AND(ISNUMBER(H18),H18&lt;1),"転換","")</f>
        <v/>
      </c>
      <c r="W18" s="18" t="n">
        <f aca="false">IF(T18="◎売り確定",3,IF(T18="○警戒",1,0))</f>
        <v>0</v>
      </c>
      <c r="X18" s="18" t="n">
        <f aca="false">IF(AND(ISNUMBER(N18),N18&gt;=40),3,IF(AND(ISNUMBER(N18),N18&gt;=32),1,0))</f>
        <v>0</v>
      </c>
    </row>
    <row r="19" customFormat="false" ht="15" hidden="false" customHeight="false" outlineLevel="0" collapsed="false">
      <c r="A19" s="16" t="n">
        <f aca="false">データ!A19</f>
        <v>46147</v>
      </c>
      <c r="B19" s="18" t="str">
        <f aca="false">IFERROR(IF(データ!B19="","",データ!B19),"")</f>
        <v/>
      </c>
      <c r="C19" s="18" t="str">
        <f aca="false">IFERROR(IF(データ!C19="","",データ!C19),"")</f>
        <v/>
      </c>
      <c r="D19" s="18" t="str">
        <f aca="false">IFERROR(B19-C19,"")</f>
        <v/>
      </c>
      <c r="E19" s="19" t="str">
        <f aca="false">IFERROR((B19-C19)/(B19+C19)*100,"")</f>
        <v/>
      </c>
      <c r="F19" s="20" t="str">
        <f aca="false">IFERROR((B19-B18)/B18,"")</f>
        <v/>
      </c>
      <c r="G19" s="20" t="str">
        <f aca="false">IFERROR((C19-C18)/C18,"")</f>
        <v/>
      </c>
      <c r="H19" s="19" t="str">
        <f aca="false">IFERROR(B19/C19,"")</f>
        <v/>
      </c>
      <c r="I19" s="19" t="n">
        <f aca="false">IFERROR(25*(B19-MIN(INDEX($B$3:$B$72,MAX(3,ROW()-59)-3+1):B19))/(MAX(INDEX($B$3:$B$72,MAX(3,ROW()-59)-3+1):B19)-MIN(INDEX($B$3:$B$72,MAX(3,ROW()-59)-3+1):B19)),12.5)</f>
        <v>12.5</v>
      </c>
      <c r="J19" s="19" t="n">
        <f aca="false">IFERROR(25*(C19-MIN(INDEX($C$3:$C$72,MAX(3,ROW()-59)-3+1):C19))/(MAX(INDEX($C$3:$C$72,MAX(3,ROW()-59)-3+1):C19)-MIN(INDEX($C$3:$C$72,MAX(3,ROW()-59)-3+1):C19)),12.5)</f>
        <v>12.5</v>
      </c>
      <c r="K19" s="19" t="n">
        <f aca="false">IFERROR(25*(MAX(INDEX($C$3:$C$72,MAX(3,ROW()-59)-3+1):C19)-C19)/(MAX(INDEX($C$3:$C$72,MAX(3,ROW()-59)-3+1):C19)-MIN(INDEX($C$3:$C$72,MAX(3,ROW()-59)-3+1):C19)),12.5)</f>
        <v>12.5</v>
      </c>
      <c r="L19" s="19" t="n">
        <f aca="false">IFERROR(25*(MAX(INDEX($B$3:$B$72,MAX(3,ROW()-59)-3+1):B19)-B19)/(MAX(INDEX($B$3:$B$72,MAX(3,ROW()-59)-3+1):B19)-MIN(INDEX($B$3:$B$72,MAX(3,ROW()-59)-3+1):B19)),12.5)</f>
        <v>12.5</v>
      </c>
      <c r="M19" s="19" t="n">
        <f aca="false">IFERROR(I19+K19,"")</f>
        <v>25</v>
      </c>
      <c r="N19" s="19" t="n">
        <f aca="false">IFERROR(L19+J19,"")</f>
        <v>25</v>
      </c>
      <c r="O19" s="18" t="n">
        <f aca="false">IF(AND(ISNUMBER(B19),B19&gt;=100),1,0)</f>
        <v>0</v>
      </c>
      <c r="P19" s="18" t="n">
        <f aca="false">IF(AND(ISNUMBER(B19),ISNUMBER(B18),B19&lt;B18),1,0)</f>
        <v>0</v>
      </c>
      <c r="Q19" s="18" t="n">
        <f aca="false">IF(AND(ISNUMBER(C19),C19&gt;=100),1,0)</f>
        <v>0</v>
      </c>
      <c r="R19" s="18" t="n">
        <f aca="false">IF(AND(ISNUMBER(H19),H19&lt;1.1),1,0)</f>
        <v>0</v>
      </c>
      <c r="S19" s="18" t="n">
        <f aca="false">O19+P19+Q19+R19</f>
        <v>0</v>
      </c>
      <c r="T19" s="21" t="str">
        <f aca="false">IF(S19=4,"◎売り確定",IF(S19=3,"○警戒","-"))</f>
        <v>-</v>
      </c>
      <c r="U19" s="18" t="str">
        <f aca="false">IF(AND(ISNUMBER(D18),ISNUMBER(D19),D18&gt;0,D19&lt;=0),"転換","")</f>
        <v/>
      </c>
      <c r="V19" s="18" t="str">
        <f aca="false">IF(AND(ISNUMBER(H19),H19&lt;1),"転換","")</f>
        <v/>
      </c>
      <c r="W19" s="18" t="n">
        <f aca="false">IF(T19="◎売り確定",3,IF(T19="○警戒",1,0))</f>
        <v>0</v>
      </c>
      <c r="X19" s="18" t="n">
        <f aca="false">IF(AND(ISNUMBER(N19),N19&gt;=40),3,IF(AND(ISNUMBER(N19),N19&gt;=32),1,0))</f>
        <v>0</v>
      </c>
    </row>
    <row r="20" customFormat="false" ht="15" hidden="false" customHeight="false" outlineLevel="0" collapsed="false">
      <c r="A20" s="16" t="n">
        <f aca="false">データ!A20</f>
        <v>46148</v>
      </c>
      <c r="B20" s="18" t="str">
        <f aca="false">IFERROR(IF(データ!B20="","",データ!B20),"")</f>
        <v/>
      </c>
      <c r="C20" s="18" t="str">
        <f aca="false">IFERROR(IF(データ!C20="","",データ!C20),"")</f>
        <v/>
      </c>
      <c r="D20" s="18" t="str">
        <f aca="false">IFERROR(B20-C20,"")</f>
        <v/>
      </c>
      <c r="E20" s="19" t="str">
        <f aca="false">IFERROR((B20-C20)/(B20+C20)*100,"")</f>
        <v/>
      </c>
      <c r="F20" s="20" t="str">
        <f aca="false">IFERROR((B20-B19)/B19,"")</f>
        <v/>
      </c>
      <c r="G20" s="20" t="str">
        <f aca="false">IFERROR((C20-C19)/C19,"")</f>
        <v/>
      </c>
      <c r="H20" s="19" t="str">
        <f aca="false">IFERROR(B20/C20,"")</f>
        <v/>
      </c>
      <c r="I20" s="19" t="n">
        <f aca="false">IFERROR(25*(B20-MIN(INDEX($B$3:$B$72,MAX(3,ROW()-59)-3+1):B20))/(MAX(INDEX($B$3:$B$72,MAX(3,ROW()-59)-3+1):B20)-MIN(INDEX($B$3:$B$72,MAX(3,ROW()-59)-3+1):B20)),12.5)</f>
        <v>12.5</v>
      </c>
      <c r="J20" s="19" t="n">
        <f aca="false">IFERROR(25*(C20-MIN(INDEX($C$3:$C$72,MAX(3,ROW()-59)-3+1):C20))/(MAX(INDEX($C$3:$C$72,MAX(3,ROW()-59)-3+1):C20)-MIN(INDEX($C$3:$C$72,MAX(3,ROW()-59)-3+1):C20)),12.5)</f>
        <v>12.5</v>
      </c>
      <c r="K20" s="19" t="n">
        <f aca="false">IFERROR(25*(MAX(INDEX($C$3:$C$72,MAX(3,ROW()-59)-3+1):C20)-C20)/(MAX(INDEX($C$3:$C$72,MAX(3,ROW()-59)-3+1):C20)-MIN(INDEX($C$3:$C$72,MAX(3,ROW()-59)-3+1):C20)),12.5)</f>
        <v>12.5</v>
      </c>
      <c r="L20" s="19" t="n">
        <f aca="false">IFERROR(25*(MAX(INDEX($B$3:$B$72,MAX(3,ROW()-59)-3+1):B20)-B20)/(MAX(INDEX($B$3:$B$72,MAX(3,ROW()-59)-3+1):B20)-MIN(INDEX($B$3:$B$72,MAX(3,ROW()-59)-3+1):B20)),12.5)</f>
        <v>12.5</v>
      </c>
      <c r="M20" s="19" t="n">
        <f aca="false">IFERROR(I20+K20,"")</f>
        <v>25</v>
      </c>
      <c r="N20" s="19" t="n">
        <f aca="false">IFERROR(L20+J20,"")</f>
        <v>25</v>
      </c>
      <c r="O20" s="18" t="n">
        <f aca="false">IF(AND(ISNUMBER(B20),B20&gt;=100),1,0)</f>
        <v>0</v>
      </c>
      <c r="P20" s="18" t="n">
        <f aca="false">IF(AND(ISNUMBER(B20),ISNUMBER(B19),B20&lt;B19),1,0)</f>
        <v>0</v>
      </c>
      <c r="Q20" s="18" t="n">
        <f aca="false">IF(AND(ISNUMBER(C20),C20&gt;=100),1,0)</f>
        <v>0</v>
      </c>
      <c r="R20" s="18" t="n">
        <f aca="false">IF(AND(ISNUMBER(H20),H20&lt;1.1),1,0)</f>
        <v>0</v>
      </c>
      <c r="S20" s="18" t="n">
        <f aca="false">O20+P20+Q20+R20</f>
        <v>0</v>
      </c>
      <c r="T20" s="21" t="str">
        <f aca="false">IF(S20=4,"◎売り確定",IF(S20=3,"○警戒","-"))</f>
        <v>-</v>
      </c>
      <c r="U20" s="18" t="str">
        <f aca="false">IF(AND(ISNUMBER(D19),ISNUMBER(D20),D19&gt;0,D20&lt;=0),"転換","")</f>
        <v/>
      </c>
      <c r="V20" s="18" t="str">
        <f aca="false">IF(AND(ISNUMBER(H20),H20&lt;1),"転換","")</f>
        <v/>
      </c>
      <c r="W20" s="18" t="n">
        <f aca="false">IF(T20="◎売り確定",3,IF(T20="○警戒",1,0))</f>
        <v>0</v>
      </c>
      <c r="X20" s="18" t="n">
        <f aca="false">IF(AND(ISNUMBER(N20),N20&gt;=40),3,IF(AND(ISNUMBER(N20),N20&gt;=32),1,0))</f>
        <v>0</v>
      </c>
    </row>
    <row r="21" customFormat="false" ht="15" hidden="false" customHeight="false" outlineLevel="0" collapsed="false">
      <c r="A21" s="16" t="n">
        <f aca="false">データ!A21</f>
        <v>46149</v>
      </c>
      <c r="B21" s="17" t="n">
        <f aca="false">IFERROR(IF(データ!B21="","",データ!B21),"")</f>
        <v>162</v>
      </c>
      <c r="C21" s="17" t="n">
        <f aca="false">IFERROR(IF(データ!C21="","",データ!C21),"")</f>
        <v>87</v>
      </c>
      <c r="D21" s="18" t="n">
        <f aca="false">IFERROR(B21-C21,"")</f>
        <v>75</v>
      </c>
      <c r="E21" s="19" t="n">
        <f aca="false">IFERROR((B21-C21)/(B21+C21)*100,"")</f>
        <v>30.1204819277108</v>
      </c>
      <c r="F21" s="20" t="str">
        <f aca="false">IFERROR((B21-B20)/B20,"")</f>
        <v/>
      </c>
      <c r="G21" s="20" t="str">
        <f aca="false">IFERROR((C21-C20)/C20,"")</f>
        <v/>
      </c>
      <c r="H21" s="19" t="n">
        <f aca="false">IFERROR(B21/C21,"")</f>
        <v>1.86206896551724</v>
      </c>
      <c r="I21" s="19" t="n">
        <f aca="false">IFERROR(25*(B21-MIN(INDEX($B$3:$B$72,MAX(3,ROW()-59)-3+1):B21))/(MAX(INDEX($B$3:$B$72,MAX(3,ROW()-59)-3+1):B21)-MIN(INDEX($B$3:$B$72,MAX(3,ROW()-59)-3+1):B21)),12.5)</f>
        <v>25</v>
      </c>
      <c r="J21" s="19" t="n">
        <f aca="false">IFERROR(25*(C21-MIN(INDEX($C$3:$C$72,MAX(3,ROW()-59)-3+1):C21))/(MAX(INDEX($C$3:$C$72,MAX(3,ROW()-59)-3+1):C21)-MIN(INDEX($C$3:$C$72,MAX(3,ROW()-59)-3+1):C21)),12.5)</f>
        <v>13.1048387096774</v>
      </c>
      <c r="K21" s="19" t="n">
        <f aca="false">IFERROR(25*(MAX(INDEX($C$3:$C$72,MAX(3,ROW()-59)-3+1):C21)-C21)/(MAX(INDEX($C$3:$C$72,MAX(3,ROW()-59)-3+1):C21)-MIN(INDEX($C$3:$C$72,MAX(3,ROW()-59)-3+1):C21)),12.5)</f>
        <v>11.8951612903226</v>
      </c>
      <c r="L21" s="19" t="n">
        <f aca="false">IFERROR(25*(MAX(INDEX($B$3:$B$72,MAX(3,ROW()-59)-3+1):B21)-B21)/(MAX(INDEX($B$3:$B$72,MAX(3,ROW()-59)-3+1):B21)-MIN(INDEX($B$3:$B$72,MAX(3,ROW()-59)-3+1):B21)),12.5)</f>
        <v>0</v>
      </c>
      <c r="M21" s="19" t="n">
        <f aca="false">IFERROR(I21+K21,"")</f>
        <v>36.8951612903226</v>
      </c>
      <c r="N21" s="19" t="n">
        <f aca="false">IFERROR(L21+J21,"")</f>
        <v>13.1048387096774</v>
      </c>
      <c r="O21" s="18" t="n">
        <f aca="false">IF(AND(ISNUMBER(B21),B21&gt;=100),1,0)</f>
        <v>1</v>
      </c>
      <c r="P21" s="18" t="n">
        <f aca="false">IF(AND(ISNUMBER(B21),ISNUMBER(B20),B21&lt;B20),1,0)</f>
        <v>0</v>
      </c>
      <c r="Q21" s="18" t="n">
        <f aca="false">IF(AND(ISNUMBER(C21),C21&gt;=100),1,0)</f>
        <v>0</v>
      </c>
      <c r="R21" s="18" t="n">
        <f aca="false">IF(AND(ISNUMBER(H21),H21&lt;1.1),1,0)</f>
        <v>0</v>
      </c>
      <c r="S21" s="18" t="n">
        <f aca="false">O21+P21+Q21+R21</f>
        <v>1</v>
      </c>
      <c r="T21" s="21" t="str">
        <f aca="false">IF(S21=4,"◎売り確定",IF(S21=3,"○警戒","-"))</f>
        <v>-</v>
      </c>
      <c r="U21" s="18" t="str">
        <f aca="false">IF(AND(ISNUMBER(D20),ISNUMBER(D21),D20&gt;0,D21&lt;=0),"転換","")</f>
        <v/>
      </c>
      <c r="V21" s="18" t="str">
        <f aca="false">IF(AND(ISNUMBER(H21),H21&lt;1),"転換","")</f>
        <v/>
      </c>
      <c r="W21" s="18" t="n">
        <f aca="false">IF(T21="◎売り確定",3,IF(T21="○警戒",1,0))</f>
        <v>0</v>
      </c>
      <c r="X21" s="18" t="n">
        <f aca="false">IF(AND(ISNUMBER(N21),N21&gt;=40),3,IF(AND(ISNUMBER(N21),N21&gt;=32),1,0))</f>
        <v>0</v>
      </c>
    </row>
    <row r="22" customFormat="false" ht="15" hidden="false" customHeight="false" outlineLevel="0" collapsed="false">
      <c r="A22" s="16" t="n">
        <f aca="false">データ!A22</f>
        <v>46150</v>
      </c>
      <c r="B22" s="17" t="n">
        <f aca="false">IFERROR(IF(データ!B22="","",データ!B22),"")</f>
        <v>129</v>
      </c>
      <c r="C22" s="17" t="n">
        <f aca="false">IFERROR(IF(データ!C22="","",データ!C22),"")</f>
        <v>85</v>
      </c>
      <c r="D22" s="18" t="n">
        <f aca="false">IFERROR(B22-C22,"")</f>
        <v>44</v>
      </c>
      <c r="E22" s="19" t="n">
        <f aca="false">IFERROR((B22-C22)/(B22+C22)*100,"")</f>
        <v>20.5607476635514</v>
      </c>
      <c r="F22" s="20" t="n">
        <f aca="false">IFERROR((B22-B21)/B21,"")</f>
        <v>-0.203703703703704</v>
      </c>
      <c r="G22" s="20" t="n">
        <f aca="false">IFERROR((C22-C21)/C21,"")</f>
        <v>-0.0229885057471264</v>
      </c>
      <c r="H22" s="19" t="n">
        <f aca="false">IFERROR(B22/C22,"")</f>
        <v>1.51764705882353</v>
      </c>
      <c r="I22" s="19" t="n">
        <f aca="false">IFERROR(25*(B22-MIN(INDEX($B$3:$B$72,MAX(3,ROW()-59)-3+1):B22))/(MAX(INDEX($B$3:$B$72,MAX(3,ROW()-59)-3+1):B22)-MIN(INDEX($B$3:$B$72,MAX(3,ROW()-59)-3+1):B22)),12.5)</f>
        <v>18.2926829268293</v>
      </c>
      <c r="J22" s="19" t="n">
        <f aca="false">IFERROR(25*(C22-MIN(INDEX($C$3:$C$72,MAX(3,ROW()-59)-3+1):C22))/(MAX(INDEX($C$3:$C$72,MAX(3,ROW()-59)-3+1):C22)-MIN(INDEX($C$3:$C$72,MAX(3,ROW()-59)-3+1):C22)),12.5)</f>
        <v>12.7016129032258</v>
      </c>
      <c r="K22" s="19" t="n">
        <f aca="false">IFERROR(25*(MAX(INDEX($C$3:$C$72,MAX(3,ROW()-59)-3+1):C22)-C22)/(MAX(INDEX($C$3:$C$72,MAX(3,ROW()-59)-3+1):C22)-MIN(INDEX($C$3:$C$72,MAX(3,ROW()-59)-3+1):C22)),12.5)</f>
        <v>12.2983870967742</v>
      </c>
      <c r="L22" s="19" t="n">
        <f aca="false">IFERROR(25*(MAX(INDEX($B$3:$B$72,MAX(3,ROW()-59)-3+1):B22)-B22)/(MAX(INDEX($B$3:$B$72,MAX(3,ROW()-59)-3+1):B22)-MIN(INDEX($B$3:$B$72,MAX(3,ROW()-59)-3+1):B22)),12.5)</f>
        <v>6.70731707317073</v>
      </c>
      <c r="M22" s="19" t="n">
        <f aca="false">IFERROR(I22+K22,"")</f>
        <v>30.5910700236035</v>
      </c>
      <c r="N22" s="19" t="n">
        <f aca="false">IFERROR(L22+J22,"")</f>
        <v>19.4089299763965</v>
      </c>
      <c r="O22" s="18" t="n">
        <f aca="false">IF(AND(ISNUMBER(B22),B22&gt;=100),1,0)</f>
        <v>1</v>
      </c>
      <c r="P22" s="18" t="n">
        <f aca="false">IF(AND(ISNUMBER(B22),ISNUMBER(B21),B22&lt;B21),1,0)</f>
        <v>1</v>
      </c>
      <c r="Q22" s="18" t="n">
        <f aca="false">IF(AND(ISNUMBER(C22),C22&gt;=100),1,0)</f>
        <v>0</v>
      </c>
      <c r="R22" s="18" t="n">
        <f aca="false">IF(AND(ISNUMBER(H22),H22&lt;1.1),1,0)</f>
        <v>0</v>
      </c>
      <c r="S22" s="18" t="n">
        <f aca="false">O22+P22+Q22+R22</f>
        <v>2</v>
      </c>
      <c r="T22" s="21" t="str">
        <f aca="false">IF(S22=4,"◎売り確定",IF(S22=3,"○警戒","-"))</f>
        <v>-</v>
      </c>
      <c r="U22" s="18" t="str">
        <f aca="false">IF(AND(ISNUMBER(D21),ISNUMBER(D22),D21&gt;0,D22&lt;=0),"転換","")</f>
        <v/>
      </c>
      <c r="V22" s="18" t="str">
        <f aca="false">IF(AND(ISNUMBER(H22),H22&lt;1),"転換","")</f>
        <v/>
      </c>
      <c r="W22" s="18" t="n">
        <f aca="false">IF(T22="◎売り確定",3,IF(T22="○警戒",1,0))</f>
        <v>0</v>
      </c>
      <c r="X22" s="18" t="n">
        <f aca="false">IF(AND(ISNUMBER(N22),N22&gt;=40),3,IF(AND(ISNUMBER(N22),N22&gt;=32),1,0))</f>
        <v>0</v>
      </c>
    </row>
    <row r="23" customFormat="false" ht="15" hidden="false" customHeight="false" outlineLevel="0" collapsed="false">
      <c r="A23" s="16" t="n">
        <f aca="false">データ!A23</f>
        <v>46153</v>
      </c>
      <c r="B23" s="17" t="n">
        <f aca="false">IFERROR(IF(データ!B23="","",データ!B23),"")</f>
        <v>198</v>
      </c>
      <c r="C23" s="17" t="n">
        <f aca="false">IFERROR(IF(データ!C23="","",データ!C23),"")</f>
        <v>105</v>
      </c>
      <c r="D23" s="18" t="n">
        <f aca="false">IFERROR(B23-C23,"")</f>
        <v>93</v>
      </c>
      <c r="E23" s="19" t="n">
        <f aca="false">IFERROR((B23-C23)/(B23+C23)*100,"")</f>
        <v>30.6930693069307</v>
      </c>
      <c r="F23" s="20" t="n">
        <f aca="false">IFERROR((B23-B22)/B22,"")</f>
        <v>0.534883720930233</v>
      </c>
      <c r="G23" s="20" t="n">
        <f aca="false">IFERROR((C23-C22)/C22,"")</f>
        <v>0.235294117647059</v>
      </c>
      <c r="H23" s="19" t="n">
        <f aca="false">IFERROR(B23/C23,"")</f>
        <v>1.88571428571429</v>
      </c>
      <c r="I23" s="19" t="n">
        <f aca="false">IFERROR(25*(B23-MIN(INDEX($B$3:$B$72,MAX(3,ROW()-59)-3+1):B23))/(MAX(INDEX($B$3:$B$72,MAX(3,ROW()-59)-3+1):B23)-MIN(INDEX($B$3:$B$72,MAX(3,ROW()-59)-3+1):B23)),12.5)</f>
        <v>25</v>
      </c>
      <c r="J23" s="19" t="n">
        <f aca="false">IFERROR(25*(C23-MIN(INDEX($C$3:$C$72,MAX(3,ROW()-59)-3+1):C23))/(MAX(INDEX($C$3:$C$72,MAX(3,ROW()-59)-3+1):C23)-MIN(INDEX($C$3:$C$72,MAX(3,ROW()-59)-3+1):C23)),12.5)</f>
        <v>16.7338709677419</v>
      </c>
      <c r="K23" s="19" t="n">
        <f aca="false">IFERROR(25*(MAX(INDEX($C$3:$C$72,MAX(3,ROW()-59)-3+1):C23)-C23)/(MAX(INDEX($C$3:$C$72,MAX(3,ROW()-59)-3+1):C23)-MIN(INDEX($C$3:$C$72,MAX(3,ROW()-59)-3+1):C23)),12.5)</f>
        <v>8.26612903225806</v>
      </c>
      <c r="L23" s="19" t="n">
        <f aca="false">IFERROR(25*(MAX(INDEX($B$3:$B$72,MAX(3,ROW()-59)-3+1):B23)-B23)/(MAX(INDEX($B$3:$B$72,MAX(3,ROW()-59)-3+1):B23)-MIN(INDEX($B$3:$B$72,MAX(3,ROW()-59)-3+1):B23)),12.5)</f>
        <v>0</v>
      </c>
      <c r="M23" s="19" t="n">
        <f aca="false">IFERROR(I23+K23,"")</f>
        <v>33.2661290322581</v>
      </c>
      <c r="N23" s="19" t="n">
        <f aca="false">IFERROR(L23+J23,"")</f>
        <v>16.7338709677419</v>
      </c>
      <c r="O23" s="18" t="n">
        <f aca="false">IF(AND(ISNUMBER(B23),B23&gt;=100),1,0)</f>
        <v>1</v>
      </c>
      <c r="P23" s="18" t="n">
        <f aca="false">IF(AND(ISNUMBER(B23),ISNUMBER(B22),B23&lt;B22),1,0)</f>
        <v>0</v>
      </c>
      <c r="Q23" s="18" t="n">
        <f aca="false">IF(AND(ISNUMBER(C23),C23&gt;=100),1,0)</f>
        <v>1</v>
      </c>
      <c r="R23" s="18" t="n">
        <f aca="false">IF(AND(ISNUMBER(H23),H23&lt;1.1),1,0)</f>
        <v>0</v>
      </c>
      <c r="S23" s="18" t="n">
        <f aca="false">O23+P23+Q23+R23</f>
        <v>2</v>
      </c>
      <c r="T23" s="21" t="str">
        <f aca="false">IF(S23=4,"◎売り確定",IF(S23=3,"○警戒","-"))</f>
        <v>-</v>
      </c>
      <c r="U23" s="18" t="str">
        <f aca="false">IF(AND(ISNUMBER(D22),ISNUMBER(D23),D22&gt;0,D23&lt;=0),"転換","")</f>
        <v/>
      </c>
      <c r="V23" s="18" t="str">
        <f aca="false">IF(AND(ISNUMBER(H23),H23&lt;1),"転換","")</f>
        <v/>
      </c>
      <c r="W23" s="18" t="n">
        <f aca="false">IF(T23="◎売り確定",3,IF(T23="○警戒",1,0))</f>
        <v>0</v>
      </c>
      <c r="X23" s="18" t="n">
        <f aca="false">IF(AND(ISNUMBER(N23),N23&gt;=40),3,IF(AND(ISNUMBER(N23),N23&gt;=32),1,0))</f>
        <v>0</v>
      </c>
    </row>
    <row r="24" customFormat="false" ht="15" hidden="false" customHeight="false" outlineLevel="0" collapsed="false">
      <c r="A24" s="16" t="n">
        <f aca="false">データ!A24</f>
        <v>46154</v>
      </c>
      <c r="B24" s="17" t="n">
        <f aca="false">IFERROR(IF(データ!B24="","",データ!B24),"")</f>
        <v>192</v>
      </c>
      <c r="C24" s="17" t="n">
        <f aca="false">IFERROR(IF(データ!C24="","",データ!C24),"")</f>
        <v>128</v>
      </c>
      <c r="D24" s="18" t="n">
        <f aca="false">IFERROR(B24-C24,"")</f>
        <v>64</v>
      </c>
      <c r="E24" s="19" t="n">
        <f aca="false">IFERROR((B24-C24)/(B24+C24)*100,"")</f>
        <v>20</v>
      </c>
      <c r="F24" s="20" t="n">
        <f aca="false">IFERROR((B24-B23)/B23,"")</f>
        <v>-0.0303030303030303</v>
      </c>
      <c r="G24" s="20" t="n">
        <f aca="false">IFERROR((C24-C23)/C23,"")</f>
        <v>0.219047619047619</v>
      </c>
      <c r="H24" s="19" t="n">
        <f aca="false">IFERROR(B24/C24,"")</f>
        <v>1.5</v>
      </c>
      <c r="I24" s="19" t="n">
        <f aca="false">IFERROR(25*(B24-MIN(INDEX($B$3:$B$72,MAX(3,ROW()-59)-3+1):B24))/(MAX(INDEX($B$3:$B$72,MAX(3,ROW()-59)-3+1):B24)-MIN(INDEX($B$3:$B$72,MAX(3,ROW()-59)-3+1):B24)),12.5)</f>
        <v>24.0566037735849</v>
      </c>
      <c r="J24" s="19" t="n">
        <f aca="false">IFERROR(25*(C24-MIN(INDEX($C$3:$C$72,MAX(3,ROW()-59)-3+1):C24))/(MAX(INDEX($C$3:$C$72,MAX(3,ROW()-59)-3+1):C24)-MIN(INDEX($C$3:$C$72,MAX(3,ROW()-59)-3+1):C24)),12.5)</f>
        <v>21.3709677419355</v>
      </c>
      <c r="K24" s="19" t="n">
        <f aca="false">IFERROR(25*(MAX(INDEX($C$3:$C$72,MAX(3,ROW()-59)-3+1):C24)-C24)/(MAX(INDEX($C$3:$C$72,MAX(3,ROW()-59)-3+1):C24)-MIN(INDEX($C$3:$C$72,MAX(3,ROW()-59)-3+1):C24)),12.5)</f>
        <v>3.62903225806452</v>
      </c>
      <c r="L24" s="19" t="n">
        <f aca="false">IFERROR(25*(MAX(INDEX($B$3:$B$72,MAX(3,ROW()-59)-3+1):B24)-B24)/(MAX(INDEX($B$3:$B$72,MAX(3,ROW()-59)-3+1):B24)-MIN(INDEX($B$3:$B$72,MAX(3,ROW()-59)-3+1):B24)),12.5)</f>
        <v>0.943396226415094</v>
      </c>
      <c r="M24" s="19" t="n">
        <f aca="false">IFERROR(I24+K24,"")</f>
        <v>27.6856360316494</v>
      </c>
      <c r="N24" s="19" t="n">
        <f aca="false">IFERROR(L24+J24,"")</f>
        <v>22.3143639683506</v>
      </c>
      <c r="O24" s="18" t="n">
        <f aca="false">IF(AND(ISNUMBER(B24),B24&gt;=100),1,0)</f>
        <v>1</v>
      </c>
      <c r="P24" s="18" t="n">
        <f aca="false">IF(AND(ISNUMBER(B24),ISNUMBER(B23),B24&lt;B23),1,0)</f>
        <v>1</v>
      </c>
      <c r="Q24" s="18" t="n">
        <f aca="false">IF(AND(ISNUMBER(C24),C24&gt;=100),1,0)</f>
        <v>1</v>
      </c>
      <c r="R24" s="18" t="n">
        <f aca="false">IF(AND(ISNUMBER(H24),H24&lt;1.1),1,0)</f>
        <v>0</v>
      </c>
      <c r="S24" s="18" t="n">
        <f aca="false">O24+P24+Q24+R24</f>
        <v>3</v>
      </c>
      <c r="T24" s="21" t="str">
        <f aca="false">IF(S24=4,"◎売り確定",IF(S24=3,"○警戒","-"))</f>
        <v>○警戒</v>
      </c>
      <c r="U24" s="18" t="str">
        <f aca="false">IF(AND(ISNUMBER(D23),ISNUMBER(D24),D23&gt;0,D24&lt;=0),"転換","")</f>
        <v/>
      </c>
      <c r="V24" s="18" t="str">
        <f aca="false">IF(AND(ISNUMBER(H24),H24&lt;1),"転換","")</f>
        <v/>
      </c>
      <c r="W24" s="18" t="n">
        <f aca="false">IF(T24="◎売り確定",3,IF(T24="○警戒",1,0))</f>
        <v>1</v>
      </c>
      <c r="X24" s="18" t="n">
        <f aca="false">IF(AND(ISNUMBER(N24),N24&gt;=40),3,IF(AND(ISNUMBER(N24),N24&gt;=32),1,0))</f>
        <v>0</v>
      </c>
    </row>
    <row r="25" customFormat="false" ht="15" hidden="false" customHeight="false" outlineLevel="0" collapsed="false">
      <c r="A25" s="16" t="n">
        <f aca="false">データ!A25</f>
        <v>46155</v>
      </c>
      <c r="B25" s="17" t="n">
        <f aca="false">IFERROR(IF(データ!B25="","",データ!B25),"")</f>
        <v>128</v>
      </c>
      <c r="C25" s="17" t="n">
        <f aca="false">IFERROR(IF(データ!C25="","",データ!C25),"")</f>
        <v>116</v>
      </c>
      <c r="D25" s="18" t="n">
        <f aca="false">IFERROR(B25-C25,"")</f>
        <v>12</v>
      </c>
      <c r="E25" s="19" t="n">
        <f aca="false">IFERROR((B25-C25)/(B25+C25)*100,"")</f>
        <v>4.91803278688525</v>
      </c>
      <c r="F25" s="20" t="n">
        <f aca="false">IFERROR((B25-B24)/B24,"")</f>
        <v>-0.333333333333333</v>
      </c>
      <c r="G25" s="20" t="n">
        <f aca="false">IFERROR((C25-C24)/C24,"")</f>
        <v>-0.09375</v>
      </c>
      <c r="H25" s="19" t="n">
        <f aca="false">IFERROR(B25/C25,"")</f>
        <v>1.10344827586207</v>
      </c>
      <c r="I25" s="19" t="n">
        <f aca="false">IFERROR(25*(B25-MIN(INDEX($B$3:$B$72,MAX(3,ROW()-59)-3+1):B25))/(MAX(INDEX($B$3:$B$72,MAX(3,ROW()-59)-3+1):B25)-MIN(INDEX($B$3:$B$72,MAX(3,ROW()-59)-3+1):B25)),12.5)</f>
        <v>13.9937106918239</v>
      </c>
      <c r="J25" s="19" t="n">
        <f aca="false">IFERROR(25*(C25-MIN(INDEX($C$3:$C$72,MAX(3,ROW()-59)-3+1):C25))/(MAX(INDEX($C$3:$C$72,MAX(3,ROW()-59)-3+1):C25)-MIN(INDEX($C$3:$C$72,MAX(3,ROW()-59)-3+1):C25)),12.5)</f>
        <v>18.9516129032258</v>
      </c>
      <c r="K25" s="19" t="n">
        <f aca="false">IFERROR(25*(MAX(INDEX($C$3:$C$72,MAX(3,ROW()-59)-3+1):C25)-C25)/(MAX(INDEX($C$3:$C$72,MAX(3,ROW()-59)-3+1):C25)-MIN(INDEX($C$3:$C$72,MAX(3,ROW()-59)-3+1):C25)),12.5)</f>
        <v>6.04838709677419</v>
      </c>
      <c r="L25" s="19" t="n">
        <f aca="false">IFERROR(25*(MAX(INDEX($B$3:$B$72,MAX(3,ROW()-59)-3+1):B25)-B25)/(MAX(INDEX($B$3:$B$72,MAX(3,ROW()-59)-3+1):B25)-MIN(INDEX($B$3:$B$72,MAX(3,ROW()-59)-3+1):B25)),12.5)</f>
        <v>11.0062893081761</v>
      </c>
      <c r="M25" s="19" t="n">
        <f aca="false">IFERROR(I25+K25,"")</f>
        <v>20.0420977885981</v>
      </c>
      <c r="N25" s="19" t="n">
        <f aca="false">IFERROR(L25+J25,"")</f>
        <v>29.9579022114019</v>
      </c>
      <c r="O25" s="18" t="n">
        <f aca="false">IF(AND(ISNUMBER(B25),B25&gt;=100),1,0)</f>
        <v>1</v>
      </c>
      <c r="P25" s="18" t="n">
        <f aca="false">IF(AND(ISNUMBER(B25),ISNUMBER(B24),B25&lt;B24),1,0)</f>
        <v>1</v>
      </c>
      <c r="Q25" s="18" t="n">
        <f aca="false">IF(AND(ISNUMBER(C25),C25&gt;=100),1,0)</f>
        <v>1</v>
      </c>
      <c r="R25" s="18" t="n">
        <f aca="false">IF(AND(ISNUMBER(H25),H25&lt;1.1),1,0)</f>
        <v>0</v>
      </c>
      <c r="S25" s="18" t="n">
        <f aca="false">O25+P25+Q25+R25</f>
        <v>3</v>
      </c>
      <c r="T25" s="21" t="str">
        <f aca="false">IF(S25=4,"◎売り確定",IF(S25=3,"○警戒","-"))</f>
        <v>○警戒</v>
      </c>
      <c r="U25" s="18" t="str">
        <f aca="false">IF(AND(ISNUMBER(D24),ISNUMBER(D25),D24&gt;0,D25&lt;=0),"転換","")</f>
        <v/>
      </c>
      <c r="V25" s="18" t="str">
        <f aca="false">IF(AND(ISNUMBER(H25),H25&lt;1),"転換","")</f>
        <v/>
      </c>
      <c r="W25" s="18" t="n">
        <f aca="false">IF(T25="◎売り確定",3,IF(T25="○警戒",1,0))</f>
        <v>1</v>
      </c>
      <c r="X25" s="18" t="n">
        <f aca="false">IF(AND(ISNUMBER(N25),N25&gt;=40),3,IF(AND(ISNUMBER(N25),N25&gt;=32),1,0))</f>
        <v>0</v>
      </c>
    </row>
    <row r="26" customFormat="false" ht="15" hidden="false" customHeight="false" outlineLevel="0" collapsed="false">
      <c r="A26" s="16" t="n">
        <f aca="false">データ!A26</f>
        <v>46156</v>
      </c>
      <c r="B26" s="17" t="n">
        <f aca="false">IFERROR(IF(データ!B26="","",データ!B26),"")</f>
        <v>180</v>
      </c>
      <c r="C26" s="17" t="n">
        <f aca="false">IFERROR(IF(データ!C26="","",データ!C26),"")</f>
        <v>222</v>
      </c>
      <c r="D26" s="18" t="n">
        <f aca="false">IFERROR(B26-C26,"")</f>
        <v>-42</v>
      </c>
      <c r="E26" s="19" t="n">
        <f aca="false">IFERROR((B26-C26)/(B26+C26)*100,"")</f>
        <v>-10.4477611940299</v>
      </c>
      <c r="F26" s="20" t="n">
        <f aca="false">IFERROR((B26-B25)/B25,"")</f>
        <v>0.40625</v>
      </c>
      <c r="G26" s="20" t="n">
        <f aca="false">IFERROR((C26-C25)/C25,"")</f>
        <v>0.913793103448276</v>
      </c>
      <c r="H26" s="19" t="n">
        <f aca="false">IFERROR(B26/C26,"")</f>
        <v>0.810810810810811</v>
      </c>
      <c r="I26" s="19" t="n">
        <f aca="false">IFERROR(25*(B26-MIN(INDEX($B$3:$B$72,MAX(3,ROW()-59)-3+1):B26))/(MAX(INDEX($B$3:$B$72,MAX(3,ROW()-59)-3+1):B26)-MIN(INDEX($B$3:$B$72,MAX(3,ROW()-59)-3+1):B26)),12.5)</f>
        <v>22.1698113207547</v>
      </c>
      <c r="J26" s="19" t="n">
        <f aca="false">IFERROR(25*(C26-MIN(INDEX($C$3:$C$72,MAX(3,ROW()-59)-3+1):C26))/(MAX(INDEX($C$3:$C$72,MAX(3,ROW()-59)-3+1):C26)-MIN(INDEX($C$3:$C$72,MAX(3,ROW()-59)-3+1):C26)),12.5)</f>
        <v>25</v>
      </c>
      <c r="K26" s="19" t="n">
        <f aca="false">IFERROR(25*(MAX(INDEX($C$3:$C$72,MAX(3,ROW()-59)-3+1):C26)-C26)/(MAX(INDEX($C$3:$C$72,MAX(3,ROW()-59)-3+1):C26)-MIN(INDEX($C$3:$C$72,MAX(3,ROW()-59)-3+1):C26)),12.5)</f>
        <v>0</v>
      </c>
      <c r="L26" s="19" t="n">
        <f aca="false">IFERROR(25*(MAX(INDEX($B$3:$B$72,MAX(3,ROW()-59)-3+1):B26)-B26)/(MAX(INDEX($B$3:$B$72,MAX(3,ROW()-59)-3+1):B26)-MIN(INDEX($B$3:$B$72,MAX(3,ROW()-59)-3+1):B26)),12.5)</f>
        <v>2.83018867924528</v>
      </c>
      <c r="M26" s="19" t="n">
        <f aca="false">IFERROR(I26+K26,"")</f>
        <v>22.1698113207547</v>
      </c>
      <c r="N26" s="19" t="n">
        <f aca="false">IFERROR(L26+J26,"")</f>
        <v>27.8301886792453</v>
      </c>
      <c r="O26" s="18" t="n">
        <f aca="false">IF(AND(ISNUMBER(B26),B26&gt;=100),1,0)</f>
        <v>1</v>
      </c>
      <c r="P26" s="18" t="n">
        <f aca="false">IF(AND(ISNUMBER(B26),ISNUMBER(B25),B26&lt;B25),1,0)</f>
        <v>0</v>
      </c>
      <c r="Q26" s="18" t="n">
        <f aca="false">IF(AND(ISNUMBER(C26),C26&gt;=100),1,0)</f>
        <v>1</v>
      </c>
      <c r="R26" s="18" t="n">
        <f aca="false">IF(AND(ISNUMBER(H26),H26&lt;1.1),1,0)</f>
        <v>1</v>
      </c>
      <c r="S26" s="18" t="n">
        <f aca="false">O26+P26+Q26+R26</f>
        <v>3</v>
      </c>
      <c r="T26" s="21" t="str">
        <f aca="false">IF(S26=4,"◎売り確定",IF(S26=3,"○警戒","-"))</f>
        <v>○警戒</v>
      </c>
      <c r="U26" s="18" t="str">
        <f aca="false">IF(AND(ISNUMBER(D25),ISNUMBER(D26),D25&gt;0,D26&lt;=0),"転換","")</f>
        <v>転換</v>
      </c>
      <c r="V26" s="18" t="str">
        <f aca="false">IF(AND(ISNUMBER(H26),H26&lt;1),"転換","")</f>
        <v>転換</v>
      </c>
      <c r="W26" s="18" t="n">
        <f aca="false">IF(T26="◎売り確定",3,IF(T26="○警戒",1,0))</f>
        <v>1</v>
      </c>
      <c r="X26" s="18" t="n">
        <f aca="false">IF(AND(ISNUMBER(N26),N26&gt;=40),3,IF(AND(ISNUMBER(N26),N26&gt;=32),1,0))</f>
        <v>0</v>
      </c>
    </row>
    <row r="27" customFormat="false" ht="15" hidden="false" customHeight="false" outlineLevel="0" collapsed="false">
      <c r="A27" s="16" t="n">
        <f aca="false">データ!A27</f>
        <v>46157</v>
      </c>
      <c r="B27" s="17" t="n">
        <f aca="false">IFERROR(IF(データ!B27="","",データ!B27),"")</f>
        <v>151</v>
      </c>
      <c r="C27" s="17" t="n">
        <f aca="false">IFERROR(IF(データ!C27="","",データ!C27),"")</f>
        <v>199</v>
      </c>
      <c r="D27" s="18" t="n">
        <f aca="false">IFERROR(B27-C27,"")</f>
        <v>-48</v>
      </c>
      <c r="E27" s="19" t="n">
        <f aca="false">IFERROR((B27-C27)/(B27+C27)*100,"")</f>
        <v>-13.7142857142857</v>
      </c>
      <c r="F27" s="20" t="n">
        <f aca="false">IFERROR((B27-B26)/B26,"")</f>
        <v>-0.161111111111111</v>
      </c>
      <c r="G27" s="20" t="n">
        <f aca="false">IFERROR((C27-C26)/C26,"")</f>
        <v>-0.103603603603604</v>
      </c>
      <c r="H27" s="19" t="n">
        <f aca="false">IFERROR(B27/C27,"")</f>
        <v>0.758793969849246</v>
      </c>
      <c r="I27" s="19" t="n">
        <f aca="false">IFERROR(25*(B27-MIN(INDEX($B$3:$B$72,MAX(3,ROW()-59)-3+1):B27))/(MAX(INDEX($B$3:$B$72,MAX(3,ROW()-59)-3+1):B27)-MIN(INDEX($B$3:$B$72,MAX(3,ROW()-59)-3+1):B27)),12.5)</f>
        <v>17.6100628930818</v>
      </c>
      <c r="J27" s="19" t="n">
        <f aca="false">IFERROR(25*(C27-MIN(INDEX($C$3:$C$72,MAX(3,ROW()-59)-3+1):C27))/(MAX(INDEX($C$3:$C$72,MAX(3,ROW()-59)-3+1):C27)-MIN(INDEX($C$3:$C$72,MAX(3,ROW()-59)-3+1):C27)),12.5)</f>
        <v>22.125</v>
      </c>
      <c r="K27" s="19" t="n">
        <f aca="false">IFERROR(25*(MAX(INDEX($C$3:$C$72,MAX(3,ROW()-59)-3+1):C27)-C27)/(MAX(INDEX($C$3:$C$72,MAX(3,ROW()-59)-3+1):C27)-MIN(INDEX($C$3:$C$72,MAX(3,ROW()-59)-3+1):C27)),12.5)</f>
        <v>2.875</v>
      </c>
      <c r="L27" s="19" t="n">
        <f aca="false">IFERROR(25*(MAX(INDEX($B$3:$B$72,MAX(3,ROW()-59)-3+1):B27)-B27)/(MAX(INDEX($B$3:$B$72,MAX(3,ROW()-59)-3+1):B27)-MIN(INDEX($B$3:$B$72,MAX(3,ROW()-59)-3+1):B27)),12.5)</f>
        <v>7.38993710691824</v>
      </c>
      <c r="M27" s="19" t="n">
        <f aca="false">IFERROR(I27+K27,"")</f>
        <v>20.4850628930818</v>
      </c>
      <c r="N27" s="19" t="n">
        <f aca="false">IFERROR(L27+J27,"")</f>
        <v>29.5149371069182</v>
      </c>
      <c r="O27" s="18" t="n">
        <f aca="false">IF(AND(ISNUMBER(B27),B27&gt;=100),1,0)</f>
        <v>1</v>
      </c>
      <c r="P27" s="18" t="n">
        <f aca="false">IF(AND(ISNUMBER(B27),ISNUMBER(B26),B27&lt;B26),1,0)</f>
        <v>1</v>
      </c>
      <c r="Q27" s="18" t="n">
        <f aca="false">IF(AND(ISNUMBER(C27),C27&gt;=100),1,0)</f>
        <v>1</v>
      </c>
      <c r="R27" s="18" t="n">
        <f aca="false">IF(AND(ISNUMBER(H27),H27&lt;1.1),1,0)</f>
        <v>1</v>
      </c>
      <c r="S27" s="18" t="n">
        <f aca="false">O27+P27+Q27+R27</f>
        <v>4</v>
      </c>
      <c r="T27" s="21" t="str">
        <f aca="false">IF(S27=4,"◎売り確定",IF(S27=3,"○警戒","-"))</f>
        <v>◎売り確定</v>
      </c>
      <c r="U27" s="18" t="str">
        <f aca="false">IF(AND(ISNUMBER(D26),ISNUMBER(D27),D26&gt;0,D27&lt;=0),"転換","")</f>
        <v/>
      </c>
      <c r="V27" s="18" t="str">
        <f aca="false">IF(AND(ISNUMBER(H27),H27&lt;1),"転換","")</f>
        <v>転換</v>
      </c>
      <c r="W27" s="18" t="n">
        <f aca="false">IF(T27="◎売り確定",3,IF(T27="○警戒",1,0))</f>
        <v>3</v>
      </c>
      <c r="X27" s="18" t="n">
        <f aca="false">IF(AND(ISNUMBER(N27),N27&gt;=40),3,IF(AND(ISNUMBER(N27),N27&gt;=32),1,0))</f>
        <v>0</v>
      </c>
    </row>
    <row r="28" customFormat="false" ht="15" hidden="false" customHeight="false" outlineLevel="0" collapsed="false">
      <c r="A28" s="16" t="n">
        <f aca="false">データ!A28</f>
        <v>46160</v>
      </c>
      <c r="B28" s="17" t="n">
        <f aca="false">IFERROR(IF(データ!B28="","",データ!B28),"")</f>
        <v>94</v>
      </c>
      <c r="C28" s="17" t="n">
        <f aca="false">IFERROR(IF(データ!C28="","",データ!C28),"")</f>
        <v>274</v>
      </c>
      <c r="D28" s="18" t="n">
        <f aca="false">IFERROR(B28-C28,"")</f>
        <v>-180</v>
      </c>
      <c r="E28" s="19" t="n">
        <f aca="false">IFERROR((B28-C28)/(B28+C28)*100,"")</f>
        <v>-48.9130434782609</v>
      </c>
      <c r="F28" s="20" t="n">
        <f aca="false">IFERROR((B28-B27)/B27,"")</f>
        <v>-0.377483443708609</v>
      </c>
      <c r="G28" s="20" t="n">
        <f aca="false">IFERROR((C28-C27)/C27,"")</f>
        <v>0.376884422110553</v>
      </c>
      <c r="H28" s="19" t="n">
        <f aca="false">IFERROR(B28/C28,"")</f>
        <v>0.343065693430657</v>
      </c>
      <c r="I28" s="19" t="n">
        <f aca="false">IFERROR(25*(B28-MIN(INDEX($B$3:$B$72,MAX(3,ROW()-59)-3+1):B28))/(MAX(INDEX($B$3:$B$72,MAX(3,ROW()-59)-3+1):B28)-MIN(INDEX($B$3:$B$72,MAX(3,ROW()-59)-3+1):B28)),12.5)</f>
        <v>8.64779874213837</v>
      </c>
      <c r="J28" s="19" t="n">
        <f aca="false">IFERROR(25*(C28-MIN(INDEX($C$3:$C$72,MAX(3,ROW()-59)-3+1):C28))/(MAX(INDEX($C$3:$C$72,MAX(3,ROW()-59)-3+1):C28)-MIN(INDEX($C$3:$C$72,MAX(3,ROW()-59)-3+1):C28)),12.5)</f>
        <v>25</v>
      </c>
      <c r="K28" s="19" t="n">
        <f aca="false">IFERROR(25*(MAX(INDEX($C$3:$C$72,MAX(3,ROW()-59)-3+1):C28)-C28)/(MAX(INDEX($C$3:$C$72,MAX(3,ROW()-59)-3+1):C28)-MIN(INDEX($C$3:$C$72,MAX(3,ROW()-59)-3+1):C28)),12.5)</f>
        <v>0</v>
      </c>
      <c r="L28" s="19" t="n">
        <f aca="false">IFERROR(25*(MAX(INDEX($B$3:$B$72,MAX(3,ROW()-59)-3+1):B28)-B28)/(MAX(INDEX($B$3:$B$72,MAX(3,ROW()-59)-3+1):B28)-MIN(INDEX($B$3:$B$72,MAX(3,ROW()-59)-3+1):B28)),12.5)</f>
        <v>16.3522012578616</v>
      </c>
      <c r="M28" s="19" t="n">
        <f aca="false">IFERROR(I28+K28,"")</f>
        <v>8.64779874213837</v>
      </c>
      <c r="N28" s="19" t="n">
        <f aca="false">IFERROR(L28+J28,"")</f>
        <v>41.3522012578616</v>
      </c>
      <c r="O28" s="18" t="n">
        <f aca="false">IF(AND(ISNUMBER(B28),B28&gt;=100),1,0)</f>
        <v>0</v>
      </c>
      <c r="P28" s="18" t="n">
        <f aca="false">IF(AND(ISNUMBER(B28),ISNUMBER(B27),B28&lt;B27),1,0)</f>
        <v>1</v>
      </c>
      <c r="Q28" s="18" t="n">
        <f aca="false">IF(AND(ISNUMBER(C28),C28&gt;=100),1,0)</f>
        <v>1</v>
      </c>
      <c r="R28" s="18" t="n">
        <f aca="false">IF(AND(ISNUMBER(H28),H28&lt;1.1),1,0)</f>
        <v>1</v>
      </c>
      <c r="S28" s="18" t="n">
        <f aca="false">O28+P28+Q28+R28</f>
        <v>3</v>
      </c>
      <c r="T28" s="21" t="str">
        <f aca="false">IF(S28=4,"◎売り確定",IF(S28=3,"○警戒","-"))</f>
        <v>○警戒</v>
      </c>
      <c r="U28" s="18" t="str">
        <f aca="false">IF(AND(ISNUMBER(D27),ISNUMBER(D28),D27&gt;0,D28&lt;=0),"転換","")</f>
        <v/>
      </c>
      <c r="V28" s="18" t="str">
        <f aca="false">IF(AND(ISNUMBER(H28),H28&lt;1),"転換","")</f>
        <v>転換</v>
      </c>
      <c r="W28" s="18" t="n">
        <f aca="false">IF(T28="◎売り確定",3,IF(T28="○警戒",1,0))</f>
        <v>1</v>
      </c>
      <c r="X28" s="18" t="n">
        <f aca="false">IF(AND(ISNUMBER(N28),N28&gt;=40),3,IF(AND(ISNUMBER(N28),N28&gt;=32),1,0))</f>
        <v>3</v>
      </c>
    </row>
    <row r="29" customFormat="false" ht="15" hidden="false" customHeight="false" outlineLevel="0" collapsed="false">
      <c r="A29" s="16" t="n">
        <f aca="false">データ!A29</f>
        <v>46161</v>
      </c>
      <c r="B29" s="17" t="n">
        <f aca="false">IFERROR(IF(データ!B29="","",データ!B29),"")</f>
        <v>109</v>
      </c>
      <c r="C29" s="17" t="n">
        <f aca="false">IFERROR(IF(データ!C29="","",データ!C29),"")</f>
        <v>95</v>
      </c>
      <c r="D29" s="18" t="n">
        <f aca="false">IFERROR(B29-C29,"")</f>
        <v>14</v>
      </c>
      <c r="E29" s="19" t="n">
        <f aca="false">IFERROR((B29-C29)/(B29+C29)*100,"")</f>
        <v>6.86274509803922</v>
      </c>
      <c r="F29" s="20" t="n">
        <f aca="false">IFERROR((B29-B28)/B28,"")</f>
        <v>0.159574468085106</v>
      </c>
      <c r="G29" s="20" t="n">
        <f aca="false">IFERROR((C29-C28)/C28,"")</f>
        <v>-0.653284671532847</v>
      </c>
      <c r="H29" s="19" t="n">
        <f aca="false">IFERROR(B29/C29,"")</f>
        <v>1.14736842105263</v>
      </c>
      <c r="I29" s="19" t="n">
        <f aca="false">IFERROR(25*(B29-MIN(INDEX($B$3:$B$72,MAX(3,ROW()-59)-3+1):B29))/(MAX(INDEX($B$3:$B$72,MAX(3,ROW()-59)-3+1):B29)-MIN(INDEX($B$3:$B$72,MAX(3,ROW()-59)-3+1):B29)),12.5)</f>
        <v>11.0062893081761</v>
      </c>
      <c r="J29" s="19" t="n">
        <f aca="false">IFERROR(25*(C29-MIN(INDEX($C$3:$C$72,MAX(3,ROW()-59)-3+1):C29))/(MAX(INDEX($C$3:$C$72,MAX(3,ROW()-59)-3+1):C29)-MIN(INDEX($C$3:$C$72,MAX(3,ROW()-59)-3+1):C29)),12.5)</f>
        <v>7.24206349206349</v>
      </c>
      <c r="K29" s="19" t="n">
        <f aca="false">IFERROR(25*(MAX(INDEX($C$3:$C$72,MAX(3,ROW()-59)-3+1):C29)-C29)/(MAX(INDEX($C$3:$C$72,MAX(3,ROW()-59)-3+1):C29)-MIN(INDEX($C$3:$C$72,MAX(3,ROW()-59)-3+1):C29)),12.5)</f>
        <v>17.7579365079365</v>
      </c>
      <c r="L29" s="19" t="n">
        <f aca="false">IFERROR(25*(MAX(INDEX($B$3:$B$72,MAX(3,ROW()-59)-3+1):B29)-B29)/(MAX(INDEX($B$3:$B$72,MAX(3,ROW()-59)-3+1):B29)-MIN(INDEX($B$3:$B$72,MAX(3,ROW()-59)-3+1):B29)),12.5)</f>
        <v>13.9937106918239</v>
      </c>
      <c r="M29" s="19" t="n">
        <f aca="false">IFERROR(I29+K29,"")</f>
        <v>28.7642258161126</v>
      </c>
      <c r="N29" s="19" t="n">
        <f aca="false">IFERROR(L29+J29,"")</f>
        <v>21.2357741838874</v>
      </c>
      <c r="O29" s="18" t="n">
        <f aca="false">IF(AND(ISNUMBER(B29),B29&gt;=100),1,0)</f>
        <v>1</v>
      </c>
      <c r="P29" s="18" t="n">
        <f aca="false">IF(AND(ISNUMBER(B29),ISNUMBER(B28),B29&lt;B28),1,0)</f>
        <v>0</v>
      </c>
      <c r="Q29" s="18" t="n">
        <f aca="false">IF(AND(ISNUMBER(C29),C29&gt;=100),1,0)</f>
        <v>0</v>
      </c>
      <c r="R29" s="18" t="n">
        <f aca="false">IF(AND(ISNUMBER(H29),H29&lt;1.1),1,0)</f>
        <v>0</v>
      </c>
      <c r="S29" s="18" t="n">
        <f aca="false">O29+P29+Q29+R29</f>
        <v>1</v>
      </c>
      <c r="T29" s="21" t="str">
        <f aca="false">IF(S29=4,"◎売り確定",IF(S29=3,"○警戒","-"))</f>
        <v>-</v>
      </c>
      <c r="U29" s="18" t="str">
        <f aca="false">IF(AND(ISNUMBER(D28),ISNUMBER(D29),D28&gt;0,D29&lt;=0),"転換","")</f>
        <v/>
      </c>
      <c r="V29" s="18" t="str">
        <f aca="false">IF(AND(ISNUMBER(H29),H29&lt;1),"転換","")</f>
        <v/>
      </c>
      <c r="W29" s="18" t="n">
        <f aca="false">IF(T29="◎売り確定",3,IF(T29="○警戒",1,0))</f>
        <v>0</v>
      </c>
      <c r="X29" s="18" t="n">
        <f aca="false">IF(AND(ISNUMBER(N29),N29&gt;=40),3,IF(AND(ISNUMBER(N29),N29&gt;=32),1,0))</f>
        <v>0</v>
      </c>
    </row>
    <row r="30" customFormat="false" ht="15" hidden="false" customHeight="false" outlineLevel="0" collapsed="false">
      <c r="A30" s="16" t="n">
        <f aca="false">データ!A30</f>
        <v>46162</v>
      </c>
      <c r="B30" s="17" t="n">
        <f aca="false">IFERROR(IF(データ!B30="","",データ!B30),"")</f>
        <v>68</v>
      </c>
      <c r="C30" s="17" t="n">
        <f aca="false">IFERROR(IF(データ!C30="","",データ!C30),"")</f>
        <v>202</v>
      </c>
      <c r="D30" s="18" t="n">
        <f aca="false">IFERROR(B30-C30,"")</f>
        <v>-134</v>
      </c>
      <c r="E30" s="19" t="n">
        <f aca="false">IFERROR((B30-C30)/(B30+C30)*100,"")</f>
        <v>-49.6296296296296</v>
      </c>
      <c r="F30" s="20" t="n">
        <f aca="false">IFERROR((B30-B29)/B29,"")</f>
        <v>-0.376146788990826</v>
      </c>
      <c r="G30" s="20" t="n">
        <f aca="false">IFERROR((C30-C29)/C29,"")</f>
        <v>1.12631578947368</v>
      </c>
      <c r="H30" s="19" t="n">
        <f aca="false">IFERROR(B30/C30,"")</f>
        <v>0.336633663366337</v>
      </c>
      <c r="I30" s="19" t="n">
        <f aca="false">IFERROR(25*(B30-MIN(INDEX($B$3:$B$72,MAX(3,ROW()-59)-3+1):B30))/(MAX(INDEX($B$3:$B$72,MAX(3,ROW()-59)-3+1):B30)-MIN(INDEX($B$3:$B$72,MAX(3,ROW()-59)-3+1):B30)),12.5)</f>
        <v>4.55974842767296</v>
      </c>
      <c r="J30" s="19" t="n">
        <f aca="false">IFERROR(25*(C30-MIN(INDEX($C$3:$C$72,MAX(3,ROW()-59)-3+1):C30))/(MAX(INDEX($C$3:$C$72,MAX(3,ROW()-59)-3+1):C30)-MIN(INDEX($C$3:$C$72,MAX(3,ROW()-59)-3+1):C30)),12.5)</f>
        <v>17.8571428571429</v>
      </c>
      <c r="K30" s="19" t="n">
        <f aca="false">IFERROR(25*(MAX(INDEX($C$3:$C$72,MAX(3,ROW()-59)-3+1):C30)-C30)/(MAX(INDEX($C$3:$C$72,MAX(3,ROW()-59)-3+1):C30)-MIN(INDEX($C$3:$C$72,MAX(3,ROW()-59)-3+1):C30)),12.5)</f>
        <v>7.14285714285714</v>
      </c>
      <c r="L30" s="19" t="n">
        <f aca="false">IFERROR(25*(MAX(INDEX($B$3:$B$72,MAX(3,ROW()-59)-3+1):B30)-B30)/(MAX(INDEX($B$3:$B$72,MAX(3,ROW()-59)-3+1):B30)-MIN(INDEX($B$3:$B$72,MAX(3,ROW()-59)-3+1):B30)),12.5)</f>
        <v>20.440251572327</v>
      </c>
      <c r="M30" s="19" t="n">
        <f aca="false">IFERROR(I30+K30,"")</f>
        <v>11.7026055705301</v>
      </c>
      <c r="N30" s="19" t="n">
        <f aca="false">IFERROR(L30+J30,"")</f>
        <v>38.2973944294699</v>
      </c>
      <c r="O30" s="18" t="n">
        <f aca="false">IF(AND(ISNUMBER(B30),B30&gt;=100),1,0)</f>
        <v>0</v>
      </c>
      <c r="P30" s="18" t="n">
        <f aca="false">IF(AND(ISNUMBER(B30),ISNUMBER(B29),B30&lt;B29),1,0)</f>
        <v>1</v>
      </c>
      <c r="Q30" s="18" t="n">
        <f aca="false">IF(AND(ISNUMBER(C30),C30&gt;=100),1,0)</f>
        <v>1</v>
      </c>
      <c r="R30" s="18" t="n">
        <f aca="false">IF(AND(ISNUMBER(H30),H30&lt;1.1),1,0)</f>
        <v>1</v>
      </c>
      <c r="S30" s="18" t="n">
        <f aca="false">O30+P30+Q30+R30</f>
        <v>3</v>
      </c>
      <c r="T30" s="21" t="str">
        <f aca="false">IF(S30=4,"◎売り確定",IF(S30=3,"○警戒","-"))</f>
        <v>○警戒</v>
      </c>
      <c r="U30" s="18" t="str">
        <f aca="false">IF(AND(ISNUMBER(D29),ISNUMBER(D30),D29&gt;0,D30&lt;=0),"転換","")</f>
        <v>転換</v>
      </c>
      <c r="V30" s="18" t="str">
        <f aca="false">IF(AND(ISNUMBER(H30),H30&lt;1),"転換","")</f>
        <v>転換</v>
      </c>
      <c r="W30" s="18" t="n">
        <f aca="false">IF(T30="◎売り確定",3,IF(T30="○警戒",1,0))</f>
        <v>1</v>
      </c>
      <c r="X30" s="18" t="n">
        <f aca="false">IF(AND(ISNUMBER(N30),N30&gt;=40),3,IF(AND(ISNUMBER(N30),N30&gt;=32),1,0))</f>
        <v>1</v>
      </c>
    </row>
    <row r="31" customFormat="false" ht="15" hidden="false" customHeight="false" outlineLevel="0" collapsed="false">
      <c r="A31" s="16" t="n">
        <f aca="false">データ!A31</f>
        <v>46163</v>
      </c>
      <c r="B31" s="17" t="n">
        <f aca="false">IFERROR(IF(データ!B31="","",データ!B31),"")</f>
        <v>115</v>
      </c>
      <c r="C31" s="17" t="n">
        <f aca="false">IFERROR(IF(データ!C31="","",データ!C31),"")</f>
        <v>100</v>
      </c>
      <c r="D31" s="18" t="n">
        <f aca="false">IFERROR(B31-C31,"")</f>
        <v>15</v>
      </c>
      <c r="E31" s="19" t="n">
        <f aca="false">IFERROR((B31-C31)/(B31+C31)*100,"")</f>
        <v>6.97674418604651</v>
      </c>
      <c r="F31" s="20" t="n">
        <f aca="false">IFERROR((B31-B30)/B30,"")</f>
        <v>0.691176470588235</v>
      </c>
      <c r="G31" s="20" t="n">
        <f aca="false">IFERROR((C31-C30)/C30,"")</f>
        <v>-0.504950495049505</v>
      </c>
      <c r="H31" s="19" t="n">
        <f aca="false">IFERROR(B31/C31,"")</f>
        <v>1.15</v>
      </c>
      <c r="I31" s="19" t="n">
        <f aca="false">IFERROR(25*(B31-MIN(INDEX($B$3:$B$72,MAX(3,ROW()-59)-3+1):B31))/(MAX(INDEX($B$3:$B$72,MAX(3,ROW()-59)-3+1):B31)-MIN(INDEX($B$3:$B$72,MAX(3,ROW()-59)-3+1):B31)),12.5)</f>
        <v>11.9496855345912</v>
      </c>
      <c r="J31" s="19" t="n">
        <f aca="false">IFERROR(25*(C31-MIN(INDEX($C$3:$C$72,MAX(3,ROW()-59)-3+1):C31))/(MAX(INDEX($C$3:$C$72,MAX(3,ROW()-59)-3+1):C31)-MIN(INDEX($C$3:$C$72,MAX(3,ROW()-59)-3+1):C31)),12.5)</f>
        <v>7.73809523809524</v>
      </c>
      <c r="K31" s="19" t="n">
        <f aca="false">IFERROR(25*(MAX(INDEX($C$3:$C$72,MAX(3,ROW()-59)-3+1):C31)-C31)/(MAX(INDEX($C$3:$C$72,MAX(3,ROW()-59)-3+1):C31)-MIN(INDEX($C$3:$C$72,MAX(3,ROW()-59)-3+1):C31)),12.5)</f>
        <v>17.2619047619048</v>
      </c>
      <c r="L31" s="19" t="n">
        <f aca="false">IFERROR(25*(MAX(INDEX($B$3:$B$72,MAX(3,ROW()-59)-3+1):B31)-B31)/(MAX(INDEX($B$3:$B$72,MAX(3,ROW()-59)-3+1):B31)-MIN(INDEX($B$3:$B$72,MAX(3,ROW()-59)-3+1):B31)),12.5)</f>
        <v>13.0503144654088</v>
      </c>
      <c r="M31" s="19" t="n">
        <f aca="false">IFERROR(I31+K31,"")</f>
        <v>29.211590296496</v>
      </c>
      <c r="N31" s="19" t="n">
        <f aca="false">IFERROR(L31+J31,"")</f>
        <v>20.788409703504</v>
      </c>
      <c r="O31" s="18" t="n">
        <f aca="false">IF(AND(ISNUMBER(B31),B31&gt;=100),1,0)</f>
        <v>1</v>
      </c>
      <c r="P31" s="18" t="n">
        <f aca="false">IF(AND(ISNUMBER(B31),ISNUMBER(B30),B31&lt;B30),1,0)</f>
        <v>0</v>
      </c>
      <c r="Q31" s="18" t="n">
        <f aca="false">IF(AND(ISNUMBER(C31),C31&gt;=100),1,0)</f>
        <v>1</v>
      </c>
      <c r="R31" s="18" t="n">
        <f aca="false">IF(AND(ISNUMBER(H31),H31&lt;1.1),1,0)</f>
        <v>0</v>
      </c>
      <c r="S31" s="18" t="n">
        <f aca="false">O31+P31+Q31+R31</f>
        <v>2</v>
      </c>
      <c r="T31" s="21" t="str">
        <f aca="false">IF(S31=4,"◎売り確定",IF(S31=3,"○警戒","-"))</f>
        <v>-</v>
      </c>
      <c r="U31" s="18" t="str">
        <f aca="false">IF(AND(ISNUMBER(D30),ISNUMBER(D31),D30&gt;0,D31&lt;=0),"転換","")</f>
        <v/>
      </c>
      <c r="V31" s="18" t="str">
        <f aca="false">IF(AND(ISNUMBER(H31),H31&lt;1),"転換","")</f>
        <v/>
      </c>
      <c r="W31" s="18" t="n">
        <f aca="false">IF(T31="◎売り確定",3,IF(T31="○警戒",1,0))</f>
        <v>0</v>
      </c>
      <c r="X31" s="18" t="n">
        <f aca="false">IF(AND(ISNUMBER(N31),N31&gt;=40),3,IF(AND(ISNUMBER(N31),N31&gt;=32),1,0))</f>
        <v>0</v>
      </c>
    </row>
    <row r="32" customFormat="false" ht="15" hidden="false" customHeight="false" outlineLevel="0" collapsed="false">
      <c r="A32" s="16" t="n">
        <f aca="false">データ!A32</f>
        <v>46164</v>
      </c>
      <c r="B32" s="17" t="n">
        <f aca="false">IFERROR(IF(データ!B32="","",データ!B32),"")</f>
        <v>98</v>
      </c>
      <c r="C32" s="17" t="n">
        <f aca="false">IFERROR(IF(データ!C32="","",データ!C32),"")</f>
        <v>108</v>
      </c>
      <c r="D32" s="18" t="n">
        <f aca="false">IFERROR(B32-C32,"")</f>
        <v>-10</v>
      </c>
      <c r="E32" s="19" t="n">
        <f aca="false">IFERROR((B32-C32)/(B32+C32)*100,"")</f>
        <v>-4.85436893203884</v>
      </c>
      <c r="F32" s="20" t="n">
        <f aca="false">IFERROR((B32-B31)/B31,"")</f>
        <v>-0.147826086956522</v>
      </c>
      <c r="G32" s="20" t="n">
        <f aca="false">IFERROR((C32-C31)/C31,"")</f>
        <v>0.08</v>
      </c>
      <c r="H32" s="19" t="n">
        <f aca="false">IFERROR(B32/C32,"")</f>
        <v>0.907407407407407</v>
      </c>
      <c r="I32" s="19" t="n">
        <f aca="false">IFERROR(25*(B32-MIN(INDEX($B$3:$B$72,MAX(3,ROW()-59)-3+1):B32))/(MAX(INDEX($B$3:$B$72,MAX(3,ROW()-59)-3+1):B32)-MIN(INDEX($B$3:$B$72,MAX(3,ROW()-59)-3+1):B32)),12.5)</f>
        <v>9.27672955974843</v>
      </c>
      <c r="J32" s="19" t="n">
        <f aca="false">IFERROR(25*(C32-MIN(INDEX($C$3:$C$72,MAX(3,ROW()-59)-3+1):C32))/(MAX(INDEX($C$3:$C$72,MAX(3,ROW()-59)-3+1):C32)-MIN(INDEX($C$3:$C$72,MAX(3,ROW()-59)-3+1):C32)),12.5)</f>
        <v>8.53174603174603</v>
      </c>
      <c r="K32" s="19" t="n">
        <f aca="false">IFERROR(25*(MAX(INDEX($C$3:$C$72,MAX(3,ROW()-59)-3+1):C32)-C32)/(MAX(INDEX($C$3:$C$72,MAX(3,ROW()-59)-3+1):C32)-MIN(INDEX($C$3:$C$72,MAX(3,ROW()-59)-3+1):C32)),12.5)</f>
        <v>16.468253968254</v>
      </c>
      <c r="L32" s="19" t="n">
        <f aca="false">IFERROR(25*(MAX(INDEX($B$3:$B$72,MAX(3,ROW()-59)-3+1):B32)-B32)/(MAX(INDEX($B$3:$B$72,MAX(3,ROW()-59)-3+1):B32)-MIN(INDEX($B$3:$B$72,MAX(3,ROW()-59)-3+1):B32)),12.5)</f>
        <v>15.7232704402516</v>
      </c>
      <c r="M32" s="19" t="n">
        <f aca="false">IFERROR(I32+K32,"")</f>
        <v>25.7449835280024</v>
      </c>
      <c r="N32" s="19" t="n">
        <f aca="false">IFERROR(L32+J32,"")</f>
        <v>24.2550164719976</v>
      </c>
      <c r="O32" s="18" t="n">
        <f aca="false">IF(AND(ISNUMBER(B32),B32&gt;=100),1,0)</f>
        <v>0</v>
      </c>
      <c r="P32" s="18" t="n">
        <f aca="false">IF(AND(ISNUMBER(B32),ISNUMBER(B31),B32&lt;B31),1,0)</f>
        <v>1</v>
      </c>
      <c r="Q32" s="18" t="n">
        <f aca="false">IF(AND(ISNUMBER(C32),C32&gt;=100),1,0)</f>
        <v>1</v>
      </c>
      <c r="R32" s="18" t="n">
        <f aca="false">IF(AND(ISNUMBER(H32),H32&lt;1.1),1,0)</f>
        <v>1</v>
      </c>
      <c r="S32" s="18" t="n">
        <f aca="false">O32+P32+Q32+R32</f>
        <v>3</v>
      </c>
      <c r="T32" s="21" t="str">
        <f aca="false">IF(S32=4,"◎売り確定",IF(S32=3,"○警戒","-"))</f>
        <v>○警戒</v>
      </c>
      <c r="U32" s="18" t="str">
        <f aca="false">IF(AND(ISNUMBER(D31),ISNUMBER(D32),D31&gt;0,D32&lt;=0),"転換","")</f>
        <v>転換</v>
      </c>
      <c r="V32" s="18" t="str">
        <f aca="false">IF(AND(ISNUMBER(H32),H32&lt;1),"転換","")</f>
        <v>転換</v>
      </c>
      <c r="W32" s="18" t="n">
        <f aca="false">IF(T32="◎売り確定",3,IF(T32="○警戒",1,0))</f>
        <v>1</v>
      </c>
      <c r="X32" s="18" t="n">
        <f aca="false">IF(AND(ISNUMBER(N32),N32&gt;=40),3,IF(AND(ISNUMBER(N32),N32&gt;=32),1,0))</f>
        <v>0</v>
      </c>
    </row>
    <row r="33" customFormat="false" ht="15" hidden="false" customHeight="false" outlineLevel="0" collapsed="false">
      <c r="A33" s="16" t="n">
        <f aca="false">データ!A33</f>
        <v>46167</v>
      </c>
      <c r="B33" s="17" t="n">
        <f aca="false">IFERROR(IF(データ!B33="","",データ!B33),"")</f>
        <v>140</v>
      </c>
      <c r="C33" s="17" t="n">
        <f aca="false">IFERROR(IF(データ!C33="","",データ!C33),"")</f>
        <v>172</v>
      </c>
      <c r="D33" s="18" t="n">
        <f aca="false">IFERROR(B33-C33,"")</f>
        <v>-32</v>
      </c>
      <c r="E33" s="19" t="n">
        <f aca="false">IFERROR((B33-C33)/(B33+C33)*100,"")</f>
        <v>-10.2564102564103</v>
      </c>
      <c r="F33" s="20" t="n">
        <f aca="false">IFERROR((B33-B32)/B32,"")</f>
        <v>0.428571428571429</v>
      </c>
      <c r="G33" s="20" t="n">
        <f aca="false">IFERROR((C33-C32)/C32,"")</f>
        <v>0.592592592592593</v>
      </c>
      <c r="H33" s="19" t="n">
        <f aca="false">IFERROR(B33/C33,"")</f>
        <v>0.813953488372093</v>
      </c>
      <c r="I33" s="19" t="n">
        <f aca="false">IFERROR(25*(B33-MIN(INDEX($B$3:$B$72,MAX(3,ROW()-59)-3+1):B33))/(MAX(INDEX($B$3:$B$72,MAX(3,ROW()-59)-3+1):B33)-MIN(INDEX($B$3:$B$72,MAX(3,ROW()-59)-3+1):B33)),12.5)</f>
        <v>15.8805031446541</v>
      </c>
      <c r="J33" s="19" t="n">
        <f aca="false">IFERROR(25*(C33-MIN(INDEX($C$3:$C$72,MAX(3,ROW()-59)-3+1):C33))/(MAX(INDEX($C$3:$C$72,MAX(3,ROW()-59)-3+1):C33)-MIN(INDEX($C$3:$C$72,MAX(3,ROW()-59)-3+1):C33)),12.5)</f>
        <v>14.8809523809524</v>
      </c>
      <c r="K33" s="19" t="n">
        <f aca="false">IFERROR(25*(MAX(INDEX($C$3:$C$72,MAX(3,ROW()-59)-3+1):C33)-C33)/(MAX(INDEX($C$3:$C$72,MAX(3,ROW()-59)-3+1):C33)-MIN(INDEX($C$3:$C$72,MAX(3,ROW()-59)-3+1):C33)),12.5)</f>
        <v>10.1190476190476</v>
      </c>
      <c r="L33" s="19" t="n">
        <f aca="false">IFERROR(25*(MAX(INDEX($B$3:$B$72,MAX(3,ROW()-59)-3+1):B33)-B33)/(MAX(INDEX($B$3:$B$72,MAX(3,ROW()-59)-3+1):B33)-MIN(INDEX($B$3:$B$72,MAX(3,ROW()-59)-3+1):B33)),12.5)</f>
        <v>9.11949685534591</v>
      </c>
      <c r="M33" s="19" t="n">
        <f aca="false">IFERROR(I33+K33,"")</f>
        <v>25.9995507637017</v>
      </c>
      <c r="N33" s="19" t="n">
        <f aca="false">IFERROR(L33+J33,"")</f>
        <v>24.0004492362983</v>
      </c>
      <c r="O33" s="18" t="n">
        <f aca="false">IF(AND(ISNUMBER(B33),B33&gt;=100),1,0)</f>
        <v>1</v>
      </c>
      <c r="P33" s="18" t="n">
        <f aca="false">IF(AND(ISNUMBER(B33),ISNUMBER(B32),B33&lt;B32),1,0)</f>
        <v>0</v>
      </c>
      <c r="Q33" s="18" t="n">
        <f aca="false">IF(AND(ISNUMBER(C33),C33&gt;=100),1,0)</f>
        <v>1</v>
      </c>
      <c r="R33" s="18" t="n">
        <f aca="false">IF(AND(ISNUMBER(H33),H33&lt;1.1),1,0)</f>
        <v>1</v>
      </c>
      <c r="S33" s="18" t="n">
        <f aca="false">O33+P33+Q33+R33</f>
        <v>3</v>
      </c>
      <c r="T33" s="21" t="str">
        <f aca="false">IF(S33=4,"◎売り確定",IF(S33=3,"○警戒","-"))</f>
        <v>○警戒</v>
      </c>
      <c r="U33" s="18" t="str">
        <f aca="false">IF(AND(ISNUMBER(D32),ISNUMBER(D33),D32&gt;0,D33&lt;=0),"転換","")</f>
        <v/>
      </c>
      <c r="V33" s="18" t="str">
        <f aca="false">IF(AND(ISNUMBER(H33),H33&lt;1),"転換","")</f>
        <v>転換</v>
      </c>
      <c r="W33" s="18" t="n">
        <f aca="false">IF(T33="◎売り確定",3,IF(T33="○警戒",1,0))</f>
        <v>1</v>
      </c>
      <c r="X33" s="18" t="n">
        <f aca="false">IF(AND(ISNUMBER(N33),N33&gt;=40),3,IF(AND(ISNUMBER(N33),N33&gt;=32),1,0))</f>
        <v>0</v>
      </c>
    </row>
    <row r="34" customFormat="false" ht="15" hidden="false" customHeight="false" outlineLevel="0" collapsed="false">
      <c r="A34" s="16" t="n">
        <f aca="false">データ!A34</f>
        <v>46168</v>
      </c>
      <c r="B34" s="17" t="n">
        <f aca="false">IFERROR(IF(データ!B34="","",データ!B34),"")</f>
        <v>133</v>
      </c>
      <c r="C34" s="17" t="n">
        <f aca="false">IFERROR(IF(データ!C34="","",データ!C34),"")</f>
        <v>170</v>
      </c>
      <c r="D34" s="18" t="n">
        <f aca="false">IFERROR(B34-C34,"")</f>
        <v>-37</v>
      </c>
      <c r="E34" s="19" t="n">
        <f aca="false">IFERROR((B34-C34)/(B34+C34)*100,"")</f>
        <v>-12.2112211221122</v>
      </c>
      <c r="F34" s="20" t="n">
        <f aca="false">IFERROR((B34-B33)/B33,"")</f>
        <v>-0.05</v>
      </c>
      <c r="G34" s="20" t="n">
        <f aca="false">IFERROR((C34-C33)/C33,"")</f>
        <v>-0.0116279069767442</v>
      </c>
      <c r="H34" s="19" t="n">
        <f aca="false">IFERROR(B34/C34,"")</f>
        <v>0.782352941176471</v>
      </c>
      <c r="I34" s="19" t="n">
        <f aca="false">IFERROR(25*(B34-MIN(INDEX($B$3:$B$72,MAX(3,ROW()-59)-3+1):B34))/(MAX(INDEX($B$3:$B$72,MAX(3,ROW()-59)-3+1):B34)-MIN(INDEX($B$3:$B$72,MAX(3,ROW()-59)-3+1):B34)),12.5)</f>
        <v>14.7798742138365</v>
      </c>
      <c r="J34" s="19" t="n">
        <f aca="false">IFERROR(25*(C34-MIN(INDEX($C$3:$C$72,MAX(3,ROW()-59)-3+1):C34))/(MAX(INDEX($C$3:$C$72,MAX(3,ROW()-59)-3+1):C34)-MIN(INDEX($C$3:$C$72,MAX(3,ROW()-59)-3+1):C34)),12.5)</f>
        <v>14.6825396825397</v>
      </c>
      <c r="K34" s="19" t="n">
        <f aca="false">IFERROR(25*(MAX(INDEX($C$3:$C$72,MAX(3,ROW()-59)-3+1):C34)-C34)/(MAX(INDEX($C$3:$C$72,MAX(3,ROW()-59)-3+1):C34)-MIN(INDEX($C$3:$C$72,MAX(3,ROW()-59)-3+1):C34)),12.5)</f>
        <v>10.3174603174603</v>
      </c>
      <c r="L34" s="19" t="n">
        <f aca="false">IFERROR(25*(MAX(INDEX($B$3:$B$72,MAX(3,ROW()-59)-3+1):B34)-B34)/(MAX(INDEX($B$3:$B$72,MAX(3,ROW()-59)-3+1):B34)-MIN(INDEX($B$3:$B$72,MAX(3,ROW()-59)-3+1):B34)),12.5)</f>
        <v>10.2201257861635</v>
      </c>
      <c r="M34" s="19" t="n">
        <f aca="false">IFERROR(I34+K34,"")</f>
        <v>25.0973345312968</v>
      </c>
      <c r="N34" s="19" t="n">
        <f aca="false">IFERROR(L34+J34,"")</f>
        <v>24.9026654687032</v>
      </c>
      <c r="O34" s="18" t="n">
        <f aca="false">IF(AND(ISNUMBER(B34),B34&gt;=100),1,0)</f>
        <v>1</v>
      </c>
      <c r="P34" s="18" t="n">
        <f aca="false">IF(AND(ISNUMBER(B34),ISNUMBER(B33),B34&lt;B33),1,0)</f>
        <v>1</v>
      </c>
      <c r="Q34" s="18" t="n">
        <f aca="false">IF(AND(ISNUMBER(C34),C34&gt;=100),1,0)</f>
        <v>1</v>
      </c>
      <c r="R34" s="18" t="n">
        <f aca="false">IF(AND(ISNUMBER(H34),H34&lt;1.1),1,0)</f>
        <v>1</v>
      </c>
      <c r="S34" s="18" t="n">
        <f aca="false">O34+P34+Q34+R34</f>
        <v>4</v>
      </c>
      <c r="T34" s="21" t="str">
        <f aca="false">IF(S34=4,"◎売り確定",IF(S34=3,"○警戒","-"))</f>
        <v>◎売り確定</v>
      </c>
      <c r="U34" s="18" t="str">
        <f aca="false">IF(AND(ISNUMBER(D33),ISNUMBER(D34),D33&gt;0,D34&lt;=0),"転換","")</f>
        <v/>
      </c>
      <c r="V34" s="18" t="str">
        <f aca="false">IF(AND(ISNUMBER(H34),H34&lt;1),"転換","")</f>
        <v>転換</v>
      </c>
      <c r="W34" s="18" t="n">
        <f aca="false">IF(T34="◎売り確定",3,IF(T34="○警戒",1,0))</f>
        <v>3</v>
      </c>
      <c r="X34" s="18" t="n">
        <f aca="false">IF(AND(ISNUMBER(N34),N34&gt;=40),3,IF(AND(ISNUMBER(N34),N34&gt;=32),1,0))</f>
        <v>0</v>
      </c>
    </row>
    <row r="35" customFormat="false" ht="15" hidden="false" customHeight="false" outlineLevel="0" collapsed="false">
      <c r="A35" s="16" t="n">
        <f aca="false">データ!A35</f>
        <v>46169</v>
      </c>
      <c r="B35" s="17" t="n">
        <f aca="false">IFERROR(IF(データ!B35="","",データ!B35),"")</f>
        <v>128</v>
      </c>
      <c r="C35" s="17" t="n">
        <f aca="false">IFERROR(IF(データ!C35="","",データ!C35),"")</f>
        <v>201</v>
      </c>
      <c r="D35" s="18" t="n">
        <f aca="false">IFERROR(B35-C35,"")</f>
        <v>-73</v>
      </c>
      <c r="E35" s="19" t="n">
        <f aca="false">IFERROR((B35-C35)/(B35+C35)*100,"")</f>
        <v>-22.1884498480243</v>
      </c>
      <c r="F35" s="20" t="n">
        <f aca="false">IFERROR((B35-B34)/B34,"")</f>
        <v>-0.037593984962406</v>
      </c>
      <c r="G35" s="20" t="n">
        <f aca="false">IFERROR((C35-C34)/C34,"")</f>
        <v>0.182352941176471</v>
      </c>
      <c r="H35" s="19" t="n">
        <f aca="false">IFERROR(B35/C35,"")</f>
        <v>0.63681592039801</v>
      </c>
      <c r="I35" s="19" t="n">
        <f aca="false">IFERROR(25*(B35-MIN(INDEX($B$3:$B$72,MAX(3,ROW()-59)-3+1):B35))/(MAX(INDEX($B$3:$B$72,MAX(3,ROW()-59)-3+1):B35)-MIN(INDEX($B$3:$B$72,MAX(3,ROW()-59)-3+1):B35)),12.5)</f>
        <v>13.9937106918239</v>
      </c>
      <c r="J35" s="19" t="n">
        <f aca="false">IFERROR(25*(C35-MIN(INDEX($C$3:$C$72,MAX(3,ROW()-59)-3+1):C35))/(MAX(INDEX($C$3:$C$72,MAX(3,ROW()-59)-3+1):C35)-MIN(INDEX($C$3:$C$72,MAX(3,ROW()-59)-3+1):C35)),12.5)</f>
        <v>17.7579365079365</v>
      </c>
      <c r="K35" s="19" t="n">
        <f aca="false">IFERROR(25*(MAX(INDEX($C$3:$C$72,MAX(3,ROW()-59)-3+1):C35)-C35)/(MAX(INDEX($C$3:$C$72,MAX(3,ROW()-59)-3+1):C35)-MIN(INDEX($C$3:$C$72,MAX(3,ROW()-59)-3+1):C35)),12.5)</f>
        <v>7.24206349206349</v>
      </c>
      <c r="L35" s="19" t="n">
        <f aca="false">IFERROR(25*(MAX(INDEX($B$3:$B$72,MAX(3,ROW()-59)-3+1):B35)-B35)/(MAX(INDEX($B$3:$B$72,MAX(3,ROW()-59)-3+1):B35)-MIN(INDEX($B$3:$B$72,MAX(3,ROW()-59)-3+1):B35)),12.5)</f>
        <v>11.0062893081761</v>
      </c>
      <c r="M35" s="19" t="n">
        <f aca="false">IFERROR(I35+K35,"")</f>
        <v>21.2357741838874</v>
      </c>
      <c r="N35" s="19" t="n">
        <f aca="false">IFERROR(L35+J35,"")</f>
        <v>28.7642258161126</v>
      </c>
      <c r="O35" s="18" t="n">
        <f aca="false">IF(AND(ISNUMBER(B35),B35&gt;=100),1,0)</f>
        <v>1</v>
      </c>
      <c r="P35" s="18" t="n">
        <f aca="false">IF(AND(ISNUMBER(B35),ISNUMBER(B34),B35&lt;B34),1,0)</f>
        <v>1</v>
      </c>
      <c r="Q35" s="18" t="n">
        <f aca="false">IF(AND(ISNUMBER(C35),C35&gt;=100),1,0)</f>
        <v>1</v>
      </c>
      <c r="R35" s="18" t="n">
        <f aca="false">IF(AND(ISNUMBER(H35),H35&lt;1.1),1,0)</f>
        <v>1</v>
      </c>
      <c r="S35" s="18" t="n">
        <f aca="false">O35+P35+Q35+R35</f>
        <v>4</v>
      </c>
      <c r="T35" s="21" t="str">
        <f aca="false">IF(S35=4,"◎売り確定",IF(S35=3,"○警戒","-"))</f>
        <v>◎売り確定</v>
      </c>
      <c r="U35" s="18" t="str">
        <f aca="false">IF(AND(ISNUMBER(D34),ISNUMBER(D35),D34&gt;0,D35&lt;=0),"転換","")</f>
        <v/>
      </c>
      <c r="V35" s="18" t="str">
        <f aca="false">IF(AND(ISNUMBER(H35),H35&lt;1),"転換","")</f>
        <v>転換</v>
      </c>
      <c r="W35" s="18" t="n">
        <f aca="false">IF(T35="◎売り確定",3,IF(T35="○警戒",1,0))</f>
        <v>3</v>
      </c>
      <c r="X35" s="18" t="n">
        <f aca="false">IF(AND(ISNUMBER(N35),N35&gt;=40),3,IF(AND(ISNUMBER(N35),N35&gt;=32),1,0))</f>
        <v>0</v>
      </c>
    </row>
    <row r="36" customFormat="false" ht="15" hidden="false" customHeight="false" outlineLevel="0" collapsed="false">
      <c r="A36" s="16" t="n">
        <f aca="false">データ!A36</f>
        <v>46170</v>
      </c>
      <c r="B36" s="17" t="n">
        <f aca="false">IFERROR(IF(データ!B36="","",データ!B36),"")</f>
        <v>72</v>
      </c>
      <c r="C36" s="17" t="n">
        <f aca="false">IFERROR(IF(データ!C36="","",データ!C36),"")</f>
        <v>138</v>
      </c>
      <c r="D36" s="18" t="n">
        <f aca="false">IFERROR(B36-C36,"")</f>
        <v>-66</v>
      </c>
      <c r="E36" s="19" t="n">
        <f aca="false">IFERROR((B36-C36)/(B36+C36)*100,"")</f>
        <v>-31.4285714285714</v>
      </c>
      <c r="F36" s="20" t="n">
        <f aca="false">IFERROR((B36-B35)/B35,"")</f>
        <v>-0.4375</v>
      </c>
      <c r="G36" s="20" t="n">
        <f aca="false">IFERROR((C36-C35)/C35,"")</f>
        <v>-0.313432835820896</v>
      </c>
      <c r="H36" s="19" t="n">
        <f aca="false">IFERROR(B36/C36,"")</f>
        <v>0.521739130434783</v>
      </c>
      <c r="I36" s="19" t="n">
        <f aca="false">IFERROR(25*(B36-MIN(INDEX($B$3:$B$72,MAX(3,ROW()-59)-3+1):B36))/(MAX(INDEX($B$3:$B$72,MAX(3,ROW()-59)-3+1):B36)-MIN(INDEX($B$3:$B$72,MAX(3,ROW()-59)-3+1):B36)),12.5)</f>
        <v>5.18867924528302</v>
      </c>
      <c r="J36" s="19" t="n">
        <f aca="false">IFERROR(25*(C36-MIN(INDEX($C$3:$C$72,MAX(3,ROW()-59)-3+1):C36))/(MAX(INDEX($C$3:$C$72,MAX(3,ROW()-59)-3+1):C36)-MIN(INDEX($C$3:$C$72,MAX(3,ROW()-59)-3+1):C36)),12.5)</f>
        <v>11.5079365079365</v>
      </c>
      <c r="K36" s="19" t="n">
        <f aca="false">IFERROR(25*(MAX(INDEX($C$3:$C$72,MAX(3,ROW()-59)-3+1):C36)-C36)/(MAX(INDEX($C$3:$C$72,MAX(3,ROW()-59)-3+1):C36)-MIN(INDEX($C$3:$C$72,MAX(3,ROW()-59)-3+1):C36)),12.5)</f>
        <v>13.4920634920635</v>
      </c>
      <c r="L36" s="19" t="n">
        <f aca="false">IFERROR(25*(MAX(INDEX($B$3:$B$72,MAX(3,ROW()-59)-3+1):B36)-B36)/(MAX(INDEX($B$3:$B$72,MAX(3,ROW()-59)-3+1):B36)-MIN(INDEX($B$3:$B$72,MAX(3,ROW()-59)-3+1):B36)),12.5)</f>
        <v>19.811320754717</v>
      </c>
      <c r="M36" s="19" t="n">
        <f aca="false">IFERROR(I36+K36,"")</f>
        <v>18.6807427373465</v>
      </c>
      <c r="N36" s="19" t="n">
        <f aca="false">IFERROR(L36+J36,"")</f>
        <v>31.3192572626535</v>
      </c>
      <c r="O36" s="18" t="n">
        <f aca="false">IF(AND(ISNUMBER(B36),B36&gt;=100),1,0)</f>
        <v>0</v>
      </c>
      <c r="P36" s="18" t="n">
        <f aca="false">IF(AND(ISNUMBER(B36),ISNUMBER(B35),B36&lt;B35),1,0)</f>
        <v>1</v>
      </c>
      <c r="Q36" s="18" t="n">
        <f aca="false">IF(AND(ISNUMBER(C36),C36&gt;=100),1,0)</f>
        <v>1</v>
      </c>
      <c r="R36" s="18" t="n">
        <f aca="false">IF(AND(ISNUMBER(H36),H36&lt;1.1),1,0)</f>
        <v>1</v>
      </c>
      <c r="S36" s="18" t="n">
        <f aca="false">O36+P36+Q36+R36</f>
        <v>3</v>
      </c>
      <c r="T36" s="21" t="str">
        <f aca="false">IF(S36=4,"◎売り確定",IF(S36=3,"○警戒","-"))</f>
        <v>○警戒</v>
      </c>
      <c r="U36" s="18" t="str">
        <f aca="false">IF(AND(ISNUMBER(D35),ISNUMBER(D36),D35&gt;0,D36&lt;=0),"転換","")</f>
        <v/>
      </c>
      <c r="V36" s="18" t="str">
        <f aca="false">IF(AND(ISNUMBER(H36),H36&lt;1),"転換","")</f>
        <v>転換</v>
      </c>
      <c r="W36" s="18" t="n">
        <f aca="false">IF(T36="◎売り確定",3,IF(T36="○警戒",1,0))</f>
        <v>1</v>
      </c>
      <c r="X36" s="18" t="n">
        <f aca="false">IF(AND(ISNUMBER(N36),N36&gt;=40),3,IF(AND(ISNUMBER(N36),N36&gt;=32),1,0))</f>
        <v>0</v>
      </c>
    </row>
    <row r="37" customFormat="false" ht="15" hidden="false" customHeight="false" outlineLevel="0" collapsed="false">
      <c r="A37" s="16" t="n">
        <f aca="false">データ!A37</f>
        <v>46171</v>
      </c>
      <c r="B37" s="17" t="n">
        <f aca="false">IFERROR(IF(データ!B37="","",データ!B37),"")</f>
        <v>138</v>
      </c>
      <c r="C37" s="17" t="n">
        <f aca="false">IFERROR(IF(データ!C37="","",データ!C37),"")</f>
        <v>67</v>
      </c>
      <c r="D37" s="18" t="n">
        <f aca="false">IFERROR(B37-C37,"")</f>
        <v>71</v>
      </c>
      <c r="E37" s="19" t="n">
        <f aca="false">IFERROR((B37-C37)/(B37+C37)*100,"")</f>
        <v>34.6341463414634</v>
      </c>
      <c r="F37" s="20" t="n">
        <f aca="false">IFERROR((B37-B36)/B36,"")</f>
        <v>0.916666666666667</v>
      </c>
      <c r="G37" s="20" t="n">
        <f aca="false">IFERROR((C37-C36)/C36,"")</f>
        <v>-0.514492753623188</v>
      </c>
      <c r="H37" s="19" t="n">
        <f aca="false">IFERROR(B37/C37,"")</f>
        <v>2.05970149253731</v>
      </c>
      <c r="I37" s="19" t="n">
        <f aca="false">IFERROR(25*(B37-MIN(INDEX($B$3:$B$72,MAX(3,ROW()-59)-3+1):B37))/(MAX(INDEX($B$3:$B$72,MAX(3,ROW()-59)-3+1):B37)-MIN(INDEX($B$3:$B$72,MAX(3,ROW()-59)-3+1):B37)),12.5)</f>
        <v>15.5660377358491</v>
      </c>
      <c r="J37" s="19" t="n">
        <f aca="false">IFERROR(25*(C37-MIN(INDEX($C$3:$C$72,MAX(3,ROW()-59)-3+1):C37))/(MAX(INDEX($C$3:$C$72,MAX(3,ROW()-59)-3+1):C37)-MIN(INDEX($C$3:$C$72,MAX(3,ROW()-59)-3+1):C37)),12.5)</f>
        <v>4.46428571428571</v>
      </c>
      <c r="K37" s="19" t="n">
        <f aca="false">IFERROR(25*(MAX(INDEX($C$3:$C$72,MAX(3,ROW()-59)-3+1):C37)-C37)/(MAX(INDEX($C$3:$C$72,MAX(3,ROW()-59)-3+1):C37)-MIN(INDEX($C$3:$C$72,MAX(3,ROW()-59)-3+1):C37)),12.5)</f>
        <v>20.5357142857143</v>
      </c>
      <c r="L37" s="19" t="n">
        <f aca="false">IFERROR(25*(MAX(INDEX($B$3:$B$72,MAX(3,ROW()-59)-3+1):B37)-B37)/(MAX(INDEX($B$3:$B$72,MAX(3,ROW()-59)-3+1):B37)-MIN(INDEX($B$3:$B$72,MAX(3,ROW()-59)-3+1):B37)),12.5)</f>
        <v>9.43396226415094</v>
      </c>
      <c r="M37" s="19" t="n">
        <f aca="false">IFERROR(I37+K37,"")</f>
        <v>36.1017520215633</v>
      </c>
      <c r="N37" s="19" t="n">
        <f aca="false">IFERROR(L37+J37,"")</f>
        <v>13.8982479784367</v>
      </c>
      <c r="O37" s="18" t="n">
        <f aca="false">IF(AND(ISNUMBER(B37),B37&gt;=100),1,0)</f>
        <v>1</v>
      </c>
      <c r="P37" s="18" t="n">
        <f aca="false">IF(AND(ISNUMBER(B37),ISNUMBER(B36),B37&lt;B36),1,0)</f>
        <v>0</v>
      </c>
      <c r="Q37" s="18" t="n">
        <f aca="false">IF(AND(ISNUMBER(C37),C37&gt;=100),1,0)</f>
        <v>0</v>
      </c>
      <c r="R37" s="18" t="n">
        <f aca="false">IF(AND(ISNUMBER(H37),H37&lt;1.1),1,0)</f>
        <v>0</v>
      </c>
      <c r="S37" s="18" t="n">
        <f aca="false">O37+P37+Q37+R37</f>
        <v>1</v>
      </c>
      <c r="T37" s="21" t="str">
        <f aca="false">IF(S37=4,"◎売り確定",IF(S37=3,"○警戒","-"))</f>
        <v>-</v>
      </c>
      <c r="U37" s="18" t="str">
        <f aca="false">IF(AND(ISNUMBER(D36),ISNUMBER(D37),D36&gt;0,D37&lt;=0),"転換","")</f>
        <v/>
      </c>
      <c r="V37" s="18" t="str">
        <f aca="false">IF(AND(ISNUMBER(H37),H37&lt;1),"転換","")</f>
        <v/>
      </c>
      <c r="W37" s="18" t="n">
        <f aca="false">IF(T37="◎売り確定",3,IF(T37="○警戒",1,0))</f>
        <v>0</v>
      </c>
      <c r="X37" s="18" t="n">
        <f aca="false">IF(AND(ISNUMBER(N37),N37&gt;=40),3,IF(AND(ISNUMBER(N37),N37&gt;=32),1,0))</f>
        <v>0</v>
      </c>
    </row>
    <row r="38" customFormat="false" ht="15" hidden="false" customHeight="false" outlineLevel="0" collapsed="false">
      <c r="A38" s="16" t="n">
        <f aca="false">データ!A38</f>
        <v>46174</v>
      </c>
      <c r="B38" s="17" t="n">
        <f aca="false">IFERROR(IF(データ!B38="","",データ!B38),"")</f>
        <v>100</v>
      </c>
      <c r="C38" s="17" t="n">
        <f aca="false">IFERROR(IF(データ!C38="","",データ!C38),"")</f>
        <v>259</v>
      </c>
      <c r="D38" s="18" t="n">
        <f aca="false">IFERROR(B38-C38,"")</f>
        <v>-159</v>
      </c>
      <c r="E38" s="19" t="n">
        <f aca="false">IFERROR((B38-C38)/(B38+C38)*100,"")</f>
        <v>-44.2896935933148</v>
      </c>
      <c r="F38" s="20" t="n">
        <f aca="false">IFERROR((B38-B37)/B37,"")</f>
        <v>-0.27536231884058</v>
      </c>
      <c r="G38" s="20" t="n">
        <f aca="false">IFERROR((C38-C37)/C37,"")</f>
        <v>2.86567164179104</v>
      </c>
      <c r="H38" s="19" t="n">
        <f aca="false">IFERROR(B38/C38,"")</f>
        <v>0.386100386100386</v>
      </c>
      <c r="I38" s="19" t="n">
        <f aca="false">IFERROR(25*(B38-MIN(INDEX($B$3:$B$72,MAX(3,ROW()-59)-3+1):B38))/(MAX(INDEX($B$3:$B$72,MAX(3,ROW()-59)-3+1):B38)-MIN(INDEX($B$3:$B$72,MAX(3,ROW()-59)-3+1):B38)),12.5)</f>
        <v>9.59119496855346</v>
      </c>
      <c r="J38" s="19" t="n">
        <f aca="false">IFERROR(25*(C38-MIN(INDEX($C$3:$C$72,MAX(3,ROW()-59)-3+1):C38))/(MAX(INDEX($C$3:$C$72,MAX(3,ROW()-59)-3+1):C38)-MIN(INDEX($C$3:$C$72,MAX(3,ROW()-59)-3+1):C38)),12.5)</f>
        <v>23.5119047619048</v>
      </c>
      <c r="K38" s="19" t="n">
        <f aca="false">IFERROR(25*(MAX(INDEX($C$3:$C$72,MAX(3,ROW()-59)-3+1):C38)-C38)/(MAX(INDEX($C$3:$C$72,MAX(3,ROW()-59)-3+1):C38)-MIN(INDEX($C$3:$C$72,MAX(3,ROW()-59)-3+1):C38)),12.5)</f>
        <v>1.48809523809524</v>
      </c>
      <c r="L38" s="19" t="n">
        <f aca="false">IFERROR(25*(MAX(INDEX($B$3:$B$72,MAX(3,ROW()-59)-3+1):B38)-B38)/(MAX(INDEX($B$3:$B$72,MAX(3,ROW()-59)-3+1):B38)-MIN(INDEX($B$3:$B$72,MAX(3,ROW()-59)-3+1):B38)),12.5)</f>
        <v>15.4088050314465</v>
      </c>
      <c r="M38" s="19" t="n">
        <f aca="false">IFERROR(I38+K38,"")</f>
        <v>11.0792902066487</v>
      </c>
      <c r="N38" s="19" t="n">
        <f aca="false">IFERROR(L38+J38,"")</f>
        <v>38.9207097933513</v>
      </c>
      <c r="O38" s="18" t="n">
        <f aca="false">IF(AND(ISNUMBER(B38),B38&gt;=100),1,0)</f>
        <v>1</v>
      </c>
      <c r="P38" s="18" t="n">
        <f aca="false">IF(AND(ISNUMBER(B38),ISNUMBER(B37),B38&lt;B37),1,0)</f>
        <v>1</v>
      </c>
      <c r="Q38" s="18" t="n">
        <f aca="false">IF(AND(ISNUMBER(C38),C38&gt;=100),1,0)</f>
        <v>1</v>
      </c>
      <c r="R38" s="18" t="n">
        <f aca="false">IF(AND(ISNUMBER(H38),H38&lt;1.1),1,0)</f>
        <v>1</v>
      </c>
      <c r="S38" s="18" t="n">
        <f aca="false">O38+P38+Q38+R38</f>
        <v>4</v>
      </c>
      <c r="T38" s="21" t="str">
        <f aca="false">IF(S38=4,"◎売り確定",IF(S38=3,"○警戒","-"))</f>
        <v>◎売り確定</v>
      </c>
      <c r="U38" s="18" t="str">
        <f aca="false">IF(AND(ISNUMBER(D37),ISNUMBER(D38),D37&gt;0,D38&lt;=0),"転換","")</f>
        <v>転換</v>
      </c>
      <c r="V38" s="18" t="str">
        <f aca="false">IF(AND(ISNUMBER(H38),H38&lt;1),"転換","")</f>
        <v>転換</v>
      </c>
      <c r="W38" s="18" t="n">
        <f aca="false">IF(T38="◎売り確定",3,IF(T38="○警戒",1,0))</f>
        <v>3</v>
      </c>
      <c r="X38" s="18" t="n">
        <f aca="false">IF(AND(ISNUMBER(N38),N38&gt;=40),3,IF(AND(ISNUMBER(N38),N38&gt;=32),1,0))</f>
        <v>1</v>
      </c>
    </row>
    <row r="39" customFormat="false" ht="15" hidden="false" customHeight="false" outlineLevel="0" collapsed="false">
      <c r="A39" s="16" t="n">
        <f aca="false">データ!A39</f>
        <v>46175</v>
      </c>
      <c r="B39" s="17" t="n">
        <f aca="false">IFERROR(IF(データ!B39="","",データ!B39),"")</f>
        <v>49</v>
      </c>
      <c r="C39" s="17" t="n">
        <f aca="false">IFERROR(IF(データ!C39="","",データ!C39),"")</f>
        <v>345</v>
      </c>
      <c r="D39" s="18" t="n">
        <f aca="false">IFERROR(B39-C39,"")</f>
        <v>-296</v>
      </c>
      <c r="E39" s="19" t="n">
        <f aca="false">IFERROR((B39-C39)/(B39+C39)*100,"")</f>
        <v>-75.1269035532995</v>
      </c>
      <c r="F39" s="20" t="n">
        <f aca="false">IFERROR((B39-B38)/B38,"")</f>
        <v>-0.51</v>
      </c>
      <c r="G39" s="20" t="n">
        <f aca="false">IFERROR((C39-C38)/C38,"")</f>
        <v>0.332046332046332</v>
      </c>
      <c r="H39" s="19" t="n">
        <f aca="false">IFERROR(B39/C39,"")</f>
        <v>0.142028985507246</v>
      </c>
      <c r="I39" s="19" t="n">
        <f aca="false">IFERROR(25*(B39-MIN(INDEX($B$3:$B$72,MAX(3,ROW()-59)-3+1):B39))/(MAX(INDEX($B$3:$B$72,MAX(3,ROW()-59)-3+1):B39)-MIN(INDEX($B$3:$B$72,MAX(3,ROW()-59)-3+1):B39)),12.5)</f>
        <v>1.57232704402516</v>
      </c>
      <c r="J39" s="19" t="n">
        <f aca="false">IFERROR(25*(C39-MIN(INDEX($C$3:$C$72,MAX(3,ROW()-59)-3+1):C39))/(MAX(INDEX($C$3:$C$72,MAX(3,ROW()-59)-3+1):C39)-MIN(INDEX($C$3:$C$72,MAX(3,ROW()-59)-3+1):C39)),12.5)</f>
        <v>25</v>
      </c>
      <c r="K39" s="19" t="n">
        <f aca="false">IFERROR(25*(MAX(INDEX($C$3:$C$72,MAX(3,ROW()-59)-3+1):C39)-C39)/(MAX(INDEX($C$3:$C$72,MAX(3,ROW()-59)-3+1):C39)-MIN(INDEX($C$3:$C$72,MAX(3,ROW()-59)-3+1):C39)),12.5)</f>
        <v>0</v>
      </c>
      <c r="L39" s="19" t="n">
        <f aca="false">IFERROR(25*(MAX(INDEX($B$3:$B$72,MAX(3,ROW()-59)-3+1):B39)-B39)/(MAX(INDEX($B$3:$B$72,MAX(3,ROW()-59)-3+1):B39)-MIN(INDEX($B$3:$B$72,MAX(3,ROW()-59)-3+1):B39)),12.5)</f>
        <v>23.4276729559748</v>
      </c>
      <c r="M39" s="19" t="n">
        <f aca="false">IFERROR(I39+K39,"")</f>
        <v>1.57232704402516</v>
      </c>
      <c r="N39" s="19" t="n">
        <f aca="false">IFERROR(L39+J39,"")</f>
        <v>48.4276729559748</v>
      </c>
      <c r="O39" s="18" t="n">
        <f aca="false">IF(AND(ISNUMBER(B39),B39&gt;=100),1,0)</f>
        <v>0</v>
      </c>
      <c r="P39" s="18" t="n">
        <f aca="false">IF(AND(ISNUMBER(B39),ISNUMBER(B38),B39&lt;B38),1,0)</f>
        <v>1</v>
      </c>
      <c r="Q39" s="18" t="n">
        <f aca="false">IF(AND(ISNUMBER(C39),C39&gt;=100),1,0)</f>
        <v>1</v>
      </c>
      <c r="R39" s="18" t="n">
        <f aca="false">IF(AND(ISNUMBER(H39),H39&lt;1.1),1,0)</f>
        <v>1</v>
      </c>
      <c r="S39" s="18" t="n">
        <f aca="false">O39+P39+Q39+R39</f>
        <v>3</v>
      </c>
      <c r="T39" s="21" t="str">
        <f aca="false">IF(S39=4,"◎売り確定",IF(S39=3,"○警戒","-"))</f>
        <v>○警戒</v>
      </c>
      <c r="U39" s="18" t="str">
        <f aca="false">IF(AND(ISNUMBER(D38),ISNUMBER(D39),D38&gt;0,D39&lt;=0),"転換","")</f>
        <v/>
      </c>
      <c r="V39" s="18" t="str">
        <f aca="false">IF(AND(ISNUMBER(H39),H39&lt;1),"転換","")</f>
        <v>転換</v>
      </c>
      <c r="W39" s="18" t="n">
        <f aca="false">IF(T39="◎売り確定",3,IF(T39="○警戒",1,0))</f>
        <v>1</v>
      </c>
      <c r="X39" s="18" t="n">
        <f aca="false">IF(AND(ISNUMBER(N39),N39&gt;=40),3,IF(AND(ISNUMBER(N39),N39&gt;=32),1,0))</f>
        <v>3</v>
      </c>
    </row>
    <row r="40" customFormat="false" ht="15" hidden="false" customHeight="false" outlineLevel="0" collapsed="false">
      <c r="A40" s="16" t="n">
        <f aca="false">データ!A40</f>
        <v>46176</v>
      </c>
      <c r="B40" s="17" t="n">
        <f aca="false">IFERROR(IF(データ!B40="","",データ!B40),"")</f>
        <v>90</v>
      </c>
      <c r="C40" s="17" t="n">
        <f aca="false">IFERROR(IF(データ!C40="","",データ!C40),"")</f>
        <v>261</v>
      </c>
      <c r="D40" s="18" t="n">
        <f aca="false">IFERROR(B40-C40,"")</f>
        <v>-171</v>
      </c>
      <c r="E40" s="19" t="n">
        <f aca="false">IFERROR((B40-C40)/(B40+C40)*100,"")</f>
        <v>-48.7179487179487</v>
      </c>
      <c r="F40" s="20" t="n">
        <f aca="false">IFERROR((B40-B39)/B39,"")</f>
        <v>0.836734693877551</v>
      </c>
      <c r="G40" s="20" t="n">
        <f aca="false">IFERROR((C40-C39)/C39,"")</f>
        <v>-0.243478260869565</v>
      </c>
      <c r="H40" s="19" t="n">
        <f aca="false">IFERROR(B40/C40,"")</f>
        <v>0.344827586206897</v>
      </c>
      <c r="I40" s="19" t="n">
        <f aca="false">IFERROR(25*(B40-MIN(INDEX($B$3:$B$72,MAX(3,ROW()-59)-3+1):B40))/(MAX(INDEX($B$3:$B$72,MAX(3,ROW()-59)-3+1):B40)-MIN(INDEX($B$3:$B$72,MAX(3,ROW()-59)-3+1):B40)),12.5)</f>
        <v>8.0188679245283</v>
      </c>
      <c r="J40" s="19" t="n">
        <f aca="false">IFERROR(25*(C40-MIN(INDEX($C$3:$C$72,MAX(3,ROW()-59)-3+1):C40))/(MAX(INDEX($C$3:$C$72,MAX(3,ROW()-59)-3+1):C40)-MIN(INDEX($C$3:$C$72,MAX(3,ROW()-59)-3+1):C40)),12.5)</f>
        <v>18.4984520123839</v>
      </c>
      <c r="K40" s="19" t="n">
        <f aca="false">IFERROR(25*(MAX(INDEX($C$3:$C$72,MAX(3,ROW()-59)-3+1):C40)-C40)/(MAX(INDEX($C$3:$C$72,MAX(3,ROW()-59)-3+1):C40)-MIN(INDEX($C$3:$C$72,MAX(3,ROW()-59)-3+1):C40)),12.5)</f>
        <v>6.5015479876161</v>
      </c>
      <c r="L40" s="19" t="n">
        <f aca="false">IFERROR(25*(MAX(INDEX($B$3:$B$72,MAX(3,ROW()-59)-3+1):B40)-B40)/(MAX(INDEX($B$3:$B$72,MAX(3,ROW()-59)-3+1):B40)-MIN(INDEX($B$3:$B$72,MAX(3,ROW()-59)-3+1):B40)),12.5)</f>
        <v>16.9811320754717</v>
      </c>
      <c r="M40" s="19" t="n">
        <f aca="false">IFERROR(I40+K40,"")</f>
        <v>14.5204159121444</v>
      </c>
      <c r="N40" s="19" t="n">
        <f aca="false">IFERROR(L40+J40,"")</f>
        <v>35.4795840878556</v>
      </c>
      <c r="O40" s="18" t="n">
        <f aca="false">IF(AND(ISNUMBER(B40),B40&gt;=100),1,0)</f>
        <v>0</v>
      </c>
      <c r="P40" s="18" t="n">
        <f aca="false">IF(AND(ISNUMBER(B40),ISNUMBER(B39),B40&lt;B39),1,0)</f>
        <v>0</v>
      </c>
      <c r="Q40" s="18" t="n">
        <f aca="false">IF(AND(ISNUMBER(C40),C40&gt;=100),1,0)</f>
        <v>1</v>
      </c>
      <c r="R40" s="18" t="n">
        <f aca="false">IF(AND(ISNUMBER(H40),H40&lt;1.1),1,0)</f>
        <v>1</v>
      </c>
      <c r="S40" s="18" t="n">
        <f aca="false">O40+P40+Q40+R40</f>
        <v>2</v>
      </c>
      <c r="T40" s="21" t="str">
        <f aca="false">IF(S40=4,"◎売り確定",IF(S40=3,"○警戒","-"))</f>
        <v>-</v>
      </c>
      <c r="U40" s="18" t="str">
        <f aca="false">IF(AND(ISNUMBER(D39),ISNUMBER(D40),D39&gt;0,D40&lt;=0),"転換","")</f>
        <v/>
      </c>
      <c r="V40" s="18" t="str">
        <f aca="false">IF(AND(ISNUMBER(H40),H40&lt;1),"転換","")</f>
        <v>転換</v>
      </c>
      <c r="W40" s="18" t="n">
        <f aca="false">IF(T40="◎売り確定",3,IF(T40="○警戒",1,0))</f>
        <v>0</v>
      </c>
      <c r="X40" s="18" t="n">
        <f aca="false">IF(AND(ISNUMBER(N40),N40&gt;=40),3,IF(AND(ISNUMBER(N40),N40&gt;=32),1,0))</f>
        <v>1</v>
      </c>
    </row>
    <row r="41" customFormat="false" ht="15" hidden="false" customHeight="false" outlineLevel="0" collapsed="false">
      <c r="A41" s="16" t="n">
        <f aca="false">データ!A41</f>
        <v>46177</v>
      </c>
      <c r="B41" s="17" t="n">
        <f aca="false">IFERROR(IF(データ!B41="","",データ!B41),"")</f>
        <v>64</v>
      </c>
      <c r="C41" s="17" t="n">
        <f aca="false">IFERROR(IF(データ!C41="","",データ!C41),"")</f>
        <v>208</v>
      </c>
      <c r="D41" s="18" t="n">
        <f aca="false">IFERROR(B41-C41,"")</f>
        <v>-144</v>
      </c>
      <c r="E41" s="19" t="n">
        <f aca="false">IFERROR((B41-C41)/(B41+C41)*100,"")</f>
        <v>-52.9411764705882</v>
      </c>
      <c r="F41" s="20" t="n">
        <f aca="false">IFERROR((B41-B40)/B40,"")</f>
        <v>-0.288888888888889</v>
      </c>
      <c r="G41" s="20" t="n">
        <f aca="false">IFERROR((C41-C40)/C40,"")</f>
        <v>-0.203065134099617</v>
      </c>
      <c r="H41" s="19" t="n">
        <f aca="false">IFERROR(B41/C41,"")</f>
        <v>0.307692307692308</v>
      </c>
      <c r="I41" s="19" t="n">
        <f aca="false">IFERROR(25*(B41-MIN(INDEX($B$3:$B$72,MAX(3,ROW()-59)-3+1):B41))/(MAX(INDEX($B$3:$B$72,MAX(3,ROW()-59)-3+1):B41)-MIN(INDEX($B$3:$B$72,MAX(3,ROW()-59)-3+1):B41)),12.5)</f>
        <v>3.93081761006289</v>
      </c>
      <c r="J41" s="19" t="n">
        <f aca="false">IFERROR(25*(C41-MIN(INDEX($C$3:$C$72,MAX(3,ROW()-59)-3+1):C41))/(MAX(INDEX($C$3:$C$72,MAX(3,ROW()-59)-3+1):C41)-MIN(INDEX($C$3:$C$72,MAX(3,ROW()-59)-3+1):C41)),12.5)</f>
        <v>14.3962848297214</v>
      </c>
      <c r="K41" s="19" t="n">
        <f aca="false">IFERROR(25*(MAX(INDEX($C$3:$C$72,MAX(3,ROW()-59)-3+1):C41)-C41)/(MAX(INDEX($C$3:$C$72,MAX(3,ROW()-59)-3+1):C41)-MIN(INDEX($C$3:$C$72,MAX(3,ROW()-59)-3+1):C41)),12.5)</f>
        <v>10.6037151702786</v>
      </c>
      <c r="L41" s="19" t="n">
        <f aca="false">IFERROR(25*(MAX(INDEX($B$3:$B$72,MAX(3,ROW()-59)-3+1):B41)-B41)/(MAX(INDEX($B$3:$B$72,MAX(3,ROW()-59)-3+1):B41)-MIN(INDEX($B$3:$B$72,MAX(3,ROW()-59)-3+1):B41)),12.5)</f>
        <v>21.0691823899371</v>
      </c>
      <c r="M41" s="19" t="n">
        <f aca="false">IFERROR(I41+K41,"")</f>
        <v>14.5345327803415</v>
      </c>
      <c r="N41" s="19" t="n">
        <f aca="false">IFERROR(L41+J41,"")</f>
        <v>35.4654672196585</v>
      </c>
      <c r="O41" s="18" t="n">
        <f aca="false">IF(AND(ISNUMBER(B41),B41&gt;=100),1,0)</f>
        <v>0</v>
      </c>
      <c r="P41" s="18" t="n">
        <f aca="false">IF(AND(ISNUMBER(B41),ISNUMBER(B40),B41&lt;B40),1,0)</f>
        <v>1</v>
      </c>
      <c r="Q41" s="18" t="n">
        <f aca="false">IF(AND(ISNUMBER(C41),C41&gt;=100),1,0)</f>
        <v>1</v>
      </c>
      <c r="R41" s="18" t="n">
        <f aca="false">IF(AND(ISNUMBER(H41),H41&lt;1.1),1,0)</f>
        <v>1</v>
      </c>
      <c r="S41" s="18" t="n">
        <f aca="false">O41+P41+Q41+R41</f>
        <v>3</v>
      </c>
      <c r="T41" s="21" t="str">
        <f aca="false">IF(S41=4,"◎売り確定",IF(S41=3,"○警戒","-"))</f>
        <v>○警戒</v>
      </c>
      <c r="U41" s="18" t="str">
        <f aca="false">IF(AND(ISNUMBER(D40),ISNUMBER(D41),D40&gt;0,D41&lt;=0),"転換","")</f>
        <v/>
      </c>
      <c r="V41" s="18" t="str">
        <f aca="false">IF(AND(ISNUMBER(H41),H41&lt;1),"転換","")</f>
        <v>転換</v>
      </c>
      <c r="W41" s="18" t="n">
        <f aca="false">IF(T41="◎売り確定",3,IF(T41="○警戒",1,0))</f>
        <v>1</v>
      </c>
      <c r="X41" s="18" t="n">
        <f aca="false">IF(AND(ISNUMBER(N41),N41&gt;=40),3,IF(AND(ISNUMBER(N41),N41&gt;=32),1,0))</f>
        <v>1</v>
      </c>
    </row>
    <row r="42" customFormat="false" ht="15" hidden="false" customHeight="false" outlineLevel="0" collapsed="false">
      <c r="A42" s="16" t="n">
        <f aca="false">データ!A42</f>
        <v>46178</v>
      </c>
      <c r="B42" s="17" t="n">
        <f aca="false">IFERROR(IF(データ!B42="","",データ!B42),"")</f>
        <v>70</v>
      </c>
      <c r="C42" s="17" t="n">
        <f aca="false">IFERROR(IF(データ!C42="","",データ!C42),"")</f>
        <v>62</v>
      </c>
      <c r="D42" s="18" t="n">
        <f aca="false">IFERROR(B42-C42,"")</f>
        <v>8</v>
      </c>
      <c r="E42" s="19" t="n">
        <f aca="false">IFERROR((B42-C42)/(B42+C42)*100,"")</f>
        <v>6.06060606060606</v>
      </c>
      <c r="F42" s="20" t="n">
        <f aca="false">IFERROR((B42-B41)/B41,"")</f>
        <v>0.09375</v>
      </c>
      <c r="G42" s="20" t="n">
        <f aca="false">IFERROR((C42-C41)/C41,"")</f>
        <v>-0.701923076923077</v>
      </c>
      <c r="H42" s="19" t="n">
        <f aca="false">IFERROR(B42/C42,"")</f>
        <v>1.12903225806452</v>
      </c>
      <c r="I42" s="19" t="n">
        <f aca="false">IFERROR(25*(B42-MIN(INDEX($B$3:$B$72,MAX(3,ROW()-59)-3+1):B42))/(MAX(INDEX($B$3:$B$72,MAX(3,ROW()-59)-3+1):B42)-MIN(INDEX($B$3:$B$72,MAX(3,ROW()-59)-3+1):B42)),12.5)</f>
        <v>4.87421383647799</v>
      </c>
      <c r="J42" s="19" t="n">
        <f aca="false">IFERROR(25*(C42-MIN(INDEX($C$3:$C$72,MAX(3,ROW()-59)-3+1):C42))/(MAX(INDEX($C$3:$C$72,MAX(3,ROW()-59)-3+1):C42)-MIN(INDEX($C$3:$C$72,MAX(3,ROW()-59)-3+1):C42)),12.5)</f>
        <v>3.09597523219814</v>
      </c>
      <c r="K42" s="19" t="n">
        <f aca="false">IFERROR(25*(MAX(INDEX($C$3:$C$72,MAX(3,ROW()-59)-3+1):C42)-C42)/(MAX(INDEX($C$3:$C$72,MAX(3,ROW()-59)-3+1):C42)-MIN(INDEX($C$3:$C$72,MAX(3,ROW()-59)-3+1):C42)),12.5)</f>
        <v>21.9040247678019</v>
      </c>
      <c r="L42" s="19" t="n">
        <f aca="false">IFERROR(25*(MAX(INDEX($B$3:$B$72,MAX(3,ROW()-59)-3+1):B42)-B42)/(MAX(INDEX($B$3:$B$72,MAX(3,ROW()-59)-3+1):B42)-MIN(INDEX($B$3:$B$72,MAX(3,ROW()-59)-3+1):B42)),12.5)</f>
        <v>20.125786163522</v>
      </c>
      <c r="M42" s="19" t="n">
        <f aca="false">IFERROR(I42+K42,"")</f>
        <v>26.7782386042798</v>
      </c>
      <c r="N42" s="19" t="n">
        <f aca="false">IFERROR(L42+J42,"")</f>
        <v>23.2217613957202</v>
      </c>
      <c r="O42" s="18" t="n">
        <f aca="false">IF(AND(ISNUMBER(B42),B42&gt;=100),1,0)</f>
        <v>0</v>
      </c>
      <c r="P42" s="18" t="n">
        <f aca="false">IF(AND(ISNUMBER(B42),ISNUMBER(B41),B42&lt;B41),1,0)</f>
        <v>0</v>
      </c>
      <c r="Q42" s="18" t="n">
        <f aca="false">IF(AND(ISNUMBER(C42),C42&gt;=100),1,0)</f>
        <v>0</v>
      </c>
      <c r="R42" s="18" t="n">
        <f aca="false">IF(AND(ISNUMBER(H42),H42&lt;1.1),1,0)</f>
        <v>0</v>
      </c>
      <c r="S42" s="18" t="n">
        <f aca="false">O42+P42+Q42+R42</f>
        <v>0</v>
      </c>
      <c r="T42" s="21" t="str">
        <f aca="false">IF(S42=4,"◎売り確定",IF(S42=3,"○警戒","-"))</f>
        <v>-</v>
      </c>
      <c r="U42" s="18" t="str">
        <f aca="false">IF(AND(ISNUMBER(D41),ISNUMBER(D42),D41&gt;0,D42&lt;=0),"転換","")</f>
        <v/>
      </c>
      <c r="V42" s="18" t="str">
        <f aca="false">IF(AND(ISNUMBER(H42),H42&lt;1),"転換","")</f>
        <v/>
      </c>
      <c r="W42" s="18" t="n">
        <f aca="false">IF(T42="◎売り確定",3,IF(T42="○警戒",1,0))</f>
        <v>0</v>
      </c>
      <c r="X42" s="18" t="n">
        <f aca="false">IF(AND(ISNUMBER(N42),N42&gt;=40),3,IF(AND(ISNUMBER(N42),N42&gt;=32),1,0))</f>
        <v>0</v>
      </c>
    </row>
    <row r="43" customFormat="false" ht="15" hidden="false" customHeight="false" outlineLevel="0" collapsed="false">
      <c r="A43" s="16" t="n">
        <f aca="false">データ!A43</f>
        <v>46181</v>
      </c>
      <c r="B43" s="17" t="n">
        <f aca="false">IFERROR(IF(データ!B43="","",データ!B43),"")</f>
        <v>27</v>
      </c>
      <c r="C43" s="17" t="n">
        <f aca="false">IFERROR(IF(データ!C43="","",データ!C43),"")</f>
        <v>163</v>
      </c>
      <c r="D43" s="18" t="n">
        <f aca="false">IFERROR(B43-C43,"")</f>
        <v>-136</v>
      </c>
      <c r="E43" s="19" t="n">
        <f aca="false">IFERROR((B43-C43)/(B43+C43)*100,"")</f>
        <v>-71.5789473684211</v>
      </c>
      <c r="F43" s="20" t="n">
        <f aca="false">IFERROR((B43-B42)/B42,"")</f>
        <v>-0.614285714285714</v>
      </c>
      <c r="G43" s="20" t="n">
        <f aca="false">IFERROR((C43-C42)/C42,"")</f>
        <v>1.62903225806452</v>
      </c>
      <c r="H43" s="19" t="n">
        <f aca="false">IFERROR(B43/C43,"")</f>
        <v>0.165644171779141</v>
      </c>
      <c r="I43" s="19" t="n">
        <f aca="false">IFERROR(25*(B43-MIN(INDEX($B$3:$B$72,MAX(3,ROW()-59)-3+1):B43))/(MAX(INDEX($B$3:$B$72,MAX(3,ROW()-59)-3+1):B43)-MIN(INDEX($B$3:$B$72,MAX(3,ROW()-59)-3+1):B43)),12.5)</f>
        <v>0</v>
      </c>
      <c r="J43" s="19" t="n">
        <f aca="false">IFERROR(25*(C43-MIN(INDEX($C$3:$C$72,MAX(3,ROW()-59)-3+1):C43))/(MAX(INDEX($C$3:$C$72,MAX(3,ROW()-59)-3+1):C43)-MIN(INDEX($C$3:$C$72,MAX(3,ROW()-59)-3+1):C43)),12.5)</f>
        <v>10.9133126934985</v>
      </c>
      <c r="K43" s="19" t="n">
        <f aca="false">IFERROR(25*(MAX(INDEX($C$3:$C$72,MAX(3,ROW()-59)-3+1):C43)-C43)/(MAX(INDEX($C$3:$C$72,MAX(3,ROW()-59)-3+1):C43)-MIN(INDEX($C$3:$C$72,MAX(3,ROW()-59)-3+1):C43)),12.5)</f>
        <v>14.0866873065015</v>
      </c>
      <c r="L43" s="19" t="n">
        <f aca="false">IFERROR(25*(MAX(INDEX($B$3:$B$72,MAX(3,ROW()-59)-3+1):B43)-B43)/(MAX(INDEX($B$3:$B$72,MAX(3,ROW()-59)-3+1):B43)-MIN(INDEX($B$3:$B$72,MAX(3,ROW()-59)-3+1):B43)),12.5)</f>
        <v>25</v>
      </c>
      <c r="M43" s="19" t="n">
        <f aca="false">IFERROR(I43+K43,"")</f>
        <v>14.0866873065015</v>
      </c>
      <c r="N43" s="19" t="n">
        <f aca="false">IFERROR(L43+J43,"")</f>
        <v>35.9133126934985</v>
      </c>
      <c r="O43" s="18" t="n">
        <f aca="false">IF(AND(ISNUMBER(B43),B43&gt;=100),1,0)</f>
        <v>0</v>
      </c>
      <c r="P43" s="18" t="n">
        <f aca="false">IF(AND(ISNUMBER(B43),ISNUMBER(B42),B43&lt;B42),1,0)</f>
        <v>1</v>
      </c>
      <c r="Q43" s="18" t="n">
        <f aca="false">IF(AND(ISNUMBER(C43),C43&gt;=100),1,0)</f>
        <v>1</v>
      </c>
      <c r="R43" s="18" t="n">
        <f aca="false">IF(AND(ISNUMBER(H43),H43&lt;1.1),1,0)</f>
        <v>1</v>
      </c>
      <c r="S43" s="18" t="n">
        <f aca="false">O43+P43+Q43+R43</f>
        <v>3</v>
      </c>
      <c r="T43" s="21" t="str">
        <f aca="false">IF(S43=4,"◎売り確定",IF(S43=3,"○警戒","-"))</f>
        <v>○警戒</v>
      </c>
      <c r="U43" s="18" t="str">
        <f aca="false">IF(AND(ISNUMBER(D42),ISNUMBER(D43),D42&gt;0,D43&lt;=0),"転換","")</f>
        <v>転換</v>
      </c>
      <c r="V43" s="18" t="str">
        <f aca="false">IF(AND(ISNUMBER(H43),H43&lt;1),"転換","")</f>
        <v>転換</v>
      </c>
      <c r="W43" s="18" t="n">
        <f aca="false">IF(T43="◎売り確定",3,IF(T43="○警戒",1,0))</f>
        <v>1</v>
      </c>
      <c r="X43" s="18" t="n">
        <f aca="false">IF(AND(ISNUMBER(N43),N43&gt;=40),3,IF(AND(ISNUMBER(N43),N43&gt;=32),1,0))</f>
        <v>1</v>
      </c>
    </row>
    <row r="44" customFormat="false" ht="15" hidden="false" customHeight="false" outlineLevel="0" collapsed="false">
      <c r="A44" s="16" t="n">
        <f aca="false">データ!A44</f>
        <v>46182</v>
      </c>
      <c r="B44" s="17" t="n">
        <f aca="false">IFERROR(IF(データ!B44="","",データ!B44),"")</f>
        <v>62</v>
      </c>
      <c r="C44" s="17" t="n">
        <f aca="false">IFERROR(IF(データ!C44="","",データ!C44),"")</f>
        <v>119</v>
      </c>
      <c r="D44" s="18" t="n">
        <f aca="false">IFERROR(B44-C44,"")</f>
        <v>-57</v>
      </c>
      <c r="E44" s="19" t="n">
        <f aca="false">IFERROR((B44-C44)/(B44+C44)*100,"")</f>
        <v>-31.4917127071823</v>
      </c>
      <c r="F44" s="20" t="n">
        <f aca="false">IFERROR((B44-B43)/B43,"")</f>
        <v>1.2962962962963</v>
      </c>
      <c r="G44" s="20" t="n">
        <f aca="false">IFERROR((C44-C43)/C43,"")</f>
        <v>-0.269938650306748</v>
      </c>
      <c r="H44" s="19" t="n">
        <f aca="false">IFERROR(B44/C44,"")</f>
        <v>0.521008403361345</v>
      </c>
      <c r="I44" s="19" t="n">
        <f aca="false">IFERROR(25*(B44-MIN(INDEX($B$3:$B$72,MAX(3,ROW()-59)-3+1):B44))/(MAX(INDEX($B$3:$B$72,MAX(3,ROW()-59)-3+1):B44)-MIN(INDEX($B$3:$B$72,MAX(3,ROW()-59)-3+1):B44)),12.5)</f>
        <v>5.11695906432749</v>
      </c>
      <c r="J44" s="19" t="n">
        <f aca="false">IFERROR(25*(C44-MIN(INDEX($C$3:$C$72,MAX(3,ROW()-59)-3+1):C44))/(MAX(INDEX($C$3:$C$72,MAX(3,ROW()-59)-3+1):C44)-MIN(INDEX($C$3:$C$72,MAX(3,ROW()-59)-3+1):C44)),12.5)</f>
        <v>7.5077399380805</v>
      </c>
      <c r="K44" s="19" t="n">
        <f aca="false">IFERROR(25*(MAX(INDEX($C$3:$C$72,MAX(3,ROW()-59)-3+1):C44)-C44)/(MAX(INDEX($C$3:$C$72,MAX(3,ROW()-59)-3+1):C44)-MIN(INDEX($C$3:$C$72,MAX(3,ROW()-59)-3+1):C44)),12.5)</f>
        <v>17.4922600619195</v>
      </c>
      <c r="L44" s="19" t="n">
        <f aca="false">IFERROR(25*(MAX(INDEX($B$3:$B$72,MAX(3,ROW()-59)-3+1):B44)-B44)/(MAX(INDEX($B$3:$B$72,MAX(3,ROW()-59)-3+1):B44)-MIN(INDEX($B$3:$B$72,MAX(3,ROW()-59)-3+1):B44)),12.5)</f>
        <v>19.8830409356725</v>
      </c>
      <c r="M44" s="19" t="n">
        <f aca="false">IFERROR(I44+K44,"")</f>
        <v>22.609219126247</v>
      </c>
      <c r="N44" s="19" t="n">
        <f aca="false">IFERROR(L44+J44,"")</f>
        <v>27.390780873753</v>
      </c>
      <c r="O44" s="18" t="n">
        <f aca="false">IF(AND(ISNUMBER(B44),B44&gt;=100),1,0)</f>
        <v>0</v>
      </c>
      <c r="P44" s="18" t="n">
        <f aca="false">IF(AND(ISNUMBER(B44),ISNUMBER(B43),B44&lt;B43),1,0)</f>
        <v>0</v>
      </c>
      <c r="Q44" s="18" t="n">
        <f aca="false">IF(AND(ISNUMBER(C44),C44&gt;=100),1,0)</f>
        <v>1</v>
      </c>
      <c r="R44" s="18" t="n">
        <f aca="false">IF(AND(ISNUMBER(H44),H44&lt;1.1),1,0)</f>
        <v>1</v>
      </c>
      <c r="S44" s="18" t="n">
        <f aca="false">O44+P44+Q44+R44</f>
        <v>2</v>
      </c>
      <c r="T44" s="21" t="str">
        <f aca="false">IF(S44=4,"◎売り確定",IF(S44=3,"○警戒","-"))</f>
        <v>-</v>
      </c>
      <c r="U44" s="18" t="str">
        <f aca="false">IF(AND(ISNUMBER(D43),ISNUMBER(D44),D43&gt;0,D44&lt;=0),"転換","")</f>
        <v/>
      </c>
      <c r="V44" s="18" t="str">
        <f aca="false">IF(AND(ISNUMBER(H44),H44&lt;1),"転換","")</f>
        <v>転換</v>
      </c>
      <c r="W44" s="18" t="n">
        <f aca="false">IF(T44="◎売り確定",3,IF(T44="○警戒",1,0))</f>
        <v>0</v>
      </c>
      <c r="X44" s="18" t="n">
        <f aca="false">IF(AND(ISNUMBER(N44),N44&gt;=40),3,IF(AND(ISNUMBER(N44),N44&gt;=32),1,0))</f>
        <v>0</v>
      </c>
    </row>
    <row r="45" customFormat="false" ht="15" hidden="false" customHeight="false" outlineLevel="0" collapsed="false">
      <c r="A45" s="16" t="n">
        <f aca="false">データ!A45</f>
        <v>46183</v>
      </c>
      <c r="B45" s="17" t="n">
        <f aca="false">IFERROR(IF(データ!B45="","",データ!B45),"")</f>
        <v>85</v>
      </c>
      <c r="C45" s="17" t="n">
        <f aca="false">IFERROR(IF(データ!C45="","",データ!C45),"")</f>
        <v>196</v>
      </c>
      <c r="D45" s="18" t="n">
        <f aca="false">IFERROR(B45-C45,"")</f>
        <v>-111</v>
      </c>
      <c r="E45" s="19" t="n">
        <f aca="false">IFERROR((B45-C45)/(B45+C45)*100,"")</f>
        <v>-39.5017793594306</v>
      </c>
      <c r="F45" s="20" t="n">
        <f aca="false">IFERROR((B45-B44)/B44,"")</f>
        <v>0.370967741935484</v>
      </c>
      <c r="G45" s="20" t="n">
        <f aca="false">IFERROR((C45-C44)/C44,"")</f>
        <v>0.647058823529412</v>
      </c>
      <c r="H45" s="19" t="n">
        <f aca="false">IFERROR(B45/C45,"")</f>
        <v>0.433673469387755</v>
      </c>
      <c r="I45" s="19" t="n">
        <f aca="false">IFERROR(25*(B45-MIN(INDEX($B$3:$B$72,MAX(3,ROW()-59)-3+1):B45))/(MAX(INDEX($B$3:$B$72,MAX(3,ROW()-59)-3+1):B45)-MIN(INDEX($B$3:$B$72,MAX(3,ROW()-59)-3+1):B45)),12.5)</f>
        <v>8.47953216374269</v>
      </c>
      <c r="J45" s="19" t="n">
        <f aca="false">IFERROR(25*(C45-MIN(INDEX($C$3:$C$72,MAX(3,ROW()-59)-3+1):C45))/(MAX(INDEX($C$3:$C$72,MAX(3,ROW()-59)-3+1):C45)-MIN(INDEX($C$3:$C$72,MAX(3,ROW()-59)-3+1):C45)),12.5)</f>
        <v>13.4674922600619</v>
      </c>
      <c r="K45" s="19" t="n">
        <f aca="false">IFERROR(25*(MAX(INDEX($C$3:$C$72,MAX(3,ROW()-59)-3+1):C45)-C45)/(MAX(INDEX($C$3:$C$72,MAX(3,ROW()-59)-3+1):C45)-MIN(INDEX($C$3:$C$72,MAX(3,ROW()-59)-3+1):C45)),12.5)</f>
        <v>11.5325077399381</v>
      </c>
      <c r="L45" s="19" t="n">
        <f aca="false">IFERROR(25*(MAX(INDEX($B$3:$B$72,MAX(3,ROW()-59)-3+1):B45)-B45)/(MAX(INDEX($B$3:$B$72,MAX(3,ROW()-59)-3+1):B45)-MIN(INDEX($B$3:$B$72,MAX(3,ROW()-59)-3+1):B45)),12.5)</f>
        <v>16.5204678362573</v>
      </c>
      <c r="M45" s="19" t="n">
        <f aca="false">IFERROR(I45+K45,"")</f>
        <v>20.0120399036808</v>
      </c>
      <c r="N45" s="19" t="n">
        <f aca="false">IFERROR(L45+J45,"")</f>
        <v>29.9879600963192</v>
      </c>
      <c r="O45" s="18" t="n">
        <f aca="false">IF(AND(ISNUMBER(B45),B45&gt;=100),1,0)</f>
        <v>0</v>
      </c>
      <c r="P45" s="18" t="n">
        <f aca="false">IF(AND(ISNUMBER(B45),ISNUMBER(B44),B45&lt;B44),1,0)</f>
        <v>0</v>
      </c>
      <c r="Q45" s="18" t="n">
        <f aca="false">IF(AND(ISNUMBER(C45),C45&gt;=100),1,0)</f>
        <v>1</v>
      </c>
      <c r="R45" s="18" t="n">
        <f aca="false">IF(AND(ISNUMBER(H45),H45&lt;1.1),1,0)</f>
        <v>1</v>
      </c>
      <c r="S45" s="18" t="n">
        <f aca="false">O45+P45+Q45+R45</f>
        <v>2</v>
      </c>
      <c r="T45" s="21" t="str">
        <f aca="false">IF(S45=4,"◎売り確定",IF(S45=3,"○警戒","-"))</f>
        <v>-</v>
      </c>
      <c r="U45" s="18" t="str">
        <f aca="false">IF(AND(ISNUMBER(D44),ISNUMBER(D45),D44&gt;0,D45&lt;=0),"転換","")</f>
        <v/>
      </c>
      <c r="V45" s="18" t="str">
        <f aca="false">IF(AND(ISNUMBER(H45),H45&lt;1),"転換","")</f>
        <v>転換</v>
      </c>
      <c r="W45" s="18" t="n">
        <f aca="false">IF(T45="◎売り確定",3,IF(T45="○警戒",1,0))</f>
        <v>0</v>
      </c>
      <c r="X45" s="18" t="n">
        <f aca="false">IF(AND(ISNUMBER(N45),N45&gt;=40),3,IF(AND(ISNUMBER(N45),N45&gt;=32),1,0))</f>
        <v>0</v>
      </c>
    </row>
    <row r="46" customFormat="false" ht="15" hidden="false" customHeight="false" outlineLevel="0" collapsed="false">
      <c r="A46" s="16" t="n">
        <f aca="false">データ!A46</f>
        <v>46184</v>
      </c>
      <c r="B46" s="17" t="n">
        <f aca="false">IFERROR(IF(データ!B46="","",データ!B46),"")</f>
        <v>22</v>
      </c>
      <c r="C46" s="17" t="n">
        <f aca="false">IFERROR(IF(データ!C46="","",データ!C46),"")</f>
        <v>232</v>
      </c>
      <c r="D46" s="18" t="n">
        <f aca="false">IFERROR(B46-C46,"")</f>
        <v>-210</v>
      </c>
      <c r="E46" s="19" t="n">
        <f aca="false">IFERROR((B46-C46)/(B46+C46)*100,"")</f>
        <v>-82.6771653543307</v>
      </c>
      <c r="F46" s="20" t="n">
        <f aca="false">IFERROR((B46-B45)/B45,"")</f>
        <v>-0.741176470588235</v>
      </c>
      <c r="G46" s="20" t="n">
        <f aca="false">IFERROR((C46-C45)/C45,"")</f>
        <v>0.183673469387755</v>
      </c>
      <c r="H46" s="19" t="n">
        <f aca="false">IFERROR(B46/C46,"")</f>
        <v>0.0948275862068966</v>
      </c>
      <c r="I46" s="19" t="n">
        <f aca="false">IFERROR(25*(B46-MIN(INDEX($B$3:$B$72,MAX(3,ROW()-59)-3+1):B46))/(MAX(INDEX($B$3:$B$72,MAX(3,ROW()-59)-3+1):B46)-MIN(INDEX($B$3:$B$72,MAX(3,ROW()-59)-3+1):B46)),12.5)</f>
        <v>0</v>
      </c>
      <c r="J46" s="19" t="n">
        <f aca="false">IFERROR(25*(C46-MIN(INDEX($C$3:$C$72,MAX(3,ROW()-59)-3+1):C46))/(MAX(INDEX($C$3:$C$72,MAX(3,ROW()-59)-3+1):C46)-MIN(INDEX($C$3:$C$72,MAX(3,ROW()-59)-3+1):C46)),12.5)</f>
        <v>16.2538699690403</v>
      </c>
      <c r="K46" s="19" t="n">
        <f aca="false">IFERROR(25*(MAX(INDEX($C$3:$C$72,MAX(3,ROW()-59)-3+1):C46)-C46)/(MAX(INDEX($C$3:$C$72,MAX(3,ROW()-59)-3+1):C46)-MIN(INDEX($C$3:$C$72,MAX(3,ROW()-59)-3+1):C46)),12.5)</f>
        <v>8.74613003095975</v>
      </c>
      <c r="L46" s="19" t="n">
        <f aca="false">IFERROR(25*(MAX(INDEX($B$3:$B$72,MAX(3,ROW()-59)-3+1):B46)-B46)/(MAX(INDEX($B$3:$B$72,MAX(3,ROW()-59)-3+1):B46)-MIN(INDEX($B$3:$B$72,MAX(3,ROW()-59)-3+1):B46)),12.5)</f>
        <v>25</v>
      </c>
      <c r="M46" s="19" t="n">
        <f aca="false">IFERROR(I46+K46,"")</f>
        <v>8.74613003095975</v>
      </c>
      <c r="N46" s="19" t="n">
        <f aca="false">IFERROR(L46+J46,"")</f>
        <v>41.2538699690403</v>
      </c>
      <c r="O46" s="18" t="n">
        <f aca="false">IF(AND(ISNUMBER(B46),B46&gt;=100),1,0)</f>
        <v>0</v>
      </c>
      <c r="P46" s="18" t="n">
        <f aca="false">IF(AND(ISNUMBER(B46),ISNUMBER(B45),B46&lt;B45),1,0)</f>
        <v>1</v>
      </c>
      <c r="Q46" s="18" t="n">
        <f aca="false">IF(AND(ISNUMBER(C46),C46&gt;=100),1,0)</f>
        <v>1</v>
      </c>
      <c r="R46" s="18" t="n">
        <f aca="false">IF(AND(ISNUMBER(H46),H46&lt;1.1),1,0)</f>
        <v>1</v>
      </c>
      <c r="S46" s="18" t="n">
        <f aca="false">O46+P46+Q46+R46</f>
        <v>3</v>
      </c>
      <c r="T46" s="21" t="str">
        <f aca="false">IF(S46=4,"◎売り確定",IF(S46=3,"○警戒","-"))</f>
        <v>○警戒</v>
      </c>
      <c r="U46" s="18" t="str">
        <f aca="false">IF(AND(ISNUMBER(D45),ISNUMBER(D46),D45&gt;0,D46&lt;=0),"転換","")</f>
        <v/>
      </c>
      <c r="V46" s="18" t="str">
        <f aca="false">IF(AND(ISNUMBER(H46),H46&lt;1),"転換","")</f>
        <v>転換</v>
      </c>
      <c r="W46" s="18" t="n">
        <f aca="false">IF(T46="◎売り確定",3,IF(T46="○警戒",1,0))</f>
        <v>1</v>
      </c>
      <c r="X46" s="18" t="n">
        <f aca="false">IF(AND(ISNUMBER(N46),N46&gt;=40),3,IF(AND(ISNUMBER(N46),N46&gt;=32),1,0))</f>
        <v>3</v>
      </c>
    </row>
    <row r="47" customFormat="false" ht="15" hidden="false" customHeight="false" outlineLevel="0" collapsed="false">
      <c r="A47" s="16" t="n">
        <f aca="false">データ!A47</f>
        <v>46185</v>
      </c>
      <c r="B47" s="17" t="n">
        <f aca="false">IFERROR(IF(データ!B47="","",データ!B47),"")</f>
        <v>47</v>
      </c>
      <c r="C47" s="17" t="n">
        <f aca="false">IFERROR(IF(データ!C47="","",データ!C47),"")</f>
        <v>123</v>
      </c>
      <c r="D47" s="18" t="n">
        <f aca="false">IFERROR(B47-C47,"")</f>
        <v>-76</v>
      </c>
      <c r="E47" s="19" t="n">
        <f aca="false">IFERROR((B47-C47)/(B47+C47)*100,"")</f>
        <v>-44.7058823529412</v>
      </c>
      <c r="F47" s="20" t="n">
        <f aca="false">IFERROR((B47-B46)/B46,"")</f>
        <v>1.13636363636364</v>
      </c>
      <c r="G47" s="20" t="n">
        <f aca="false">IFERROR((C47-C46)/C46,"")</f>
        <v>-0.469827586206897</v>
      </c>
      <c r="H47" s="19" t="n">
        <f aca="false">IFERROR(B47/C47,"")</f>
        <v>0.382113821138211</v>
      </c>
      <c r="I47" s="19" t="n">
        <f aca="false">IFERROR(25*(B47-MIN(INDEX($B$3:$B$72,MAX(3,ROW()-59)-3+1):B47))/(MAX(INDEX($B$3:$B$72,MAX(3,ROW()-59)-3+1):B47)-MIN(INDEX($B$3:$B$72,MAX(3,ROW()-59)-3+1):B47)),12.5)</f>
        <v>3.55113636363636</v>
      </c>
      <c r="J47" s="19" t="n">
        <f aca="false">IFERROR(25*(C47-MIN(INDEX($C$3:$C$72,MAX(3,ROW()-59)-3+1):C47))/(MAX(INDEX($C$3:$C$72,MAX(3,ROW()-59)-3+1):C47)-MIN(INDEX($C$3:$C$72,MAX(3,ROW()-59)-3+1):C47)),12.5)</f>
        <v>7.81733746130031</v>
      </c>
      <c r="K47" s="19" t="n">
        <f aca="false">IFERROR(25*(MAX(INDEX($C$3:$C$72,MAX(3,ROW()-59)-3+1):C47)-C47)/(MAX(INDEX($C$3:$C$72,MAX(3,ROW()-59)-3+1):C47)-MIN(INDEX($C$3:$C$72,MAX(3,ROW()-59)-3+1):C47)),12.5)</f>
        <v>17.1826625386997</v>
      </c>
      <c r="L47" s="19" t="n">
        <f aca="false">IFERROR(25*(MAX(INDEX($B$3:$B$72,MAX(3,ROW()-59)-3+1):B47)-B47)/(MAX(INDEX($B$3:$B$72,MAX(3,ROW()-59)-3+1):B47)-MIN(INDEX($B$3:$B$72,MAX(3,ROW()-59)-3+1):B47)),12.5)</f>
        <v>21.4488636363636</v>
      </c>
      <c r="M47" s="19" t="n">
        <f aca="false">IFERROR(I47+K47,"")</f>
        <v>20.7337989023361</v>
      </c>
      <c r="N47" s="19" t="n">
        <f aca="false">IFERROR(L47+J47,"")</f>
        <v>29.2662010976639</v>
      </c>
      <c r="O47" s="18" t="n">
        <f aca="false">IF(AND(ISNUMBER(B47),B47&gt;=100),1,0)</f>
        <v>0</v>
      </c>
      <c r="P47" s="18" t="n">
        <f aca="false">IF(AND(ISNUMBER(B47),ISNUMBER(B46),B47&lt;B46),1,0)</f>
        <v>0</v>
      </c>
      <c r="Q47" s="18" t="n">
        <f aca="false">IF(AND(ISNUMBER(C47),C47&gt;=100),1,0)</f>
        <v>1</v>
      </c>
      <c r="R47" s="18" t="n">
        <f aca="false">IF(AND(ISNUMBER(H47),H47&lt;1.1),1,0)</f>
        <v>1</v>
      </c>
      <c r="S47" s="18" t="n">
        <f aca="false">O47+P47+Q47+R47</f>
        <v>2</v>
      </c>
      <c r="T47" s="21" t="str">
        <f aca="false">IF(S47=4,"◎売り確定",IF(S47=3,"○警戒","-"))</f>
        <v>-</v>
      </c>
      <c r="U47" s="18" t="str">
        <f aca="false">IF(AND(ISNUMBER(D46),ISNUMBER(D47),D46&gt;0,D47&lt;=0),"転換","")</f>
        <v/>
      </c>
      <c r="V47" s="18" t="str">
        <f aca="false">IF(AND(ISNUMBER(H47),H47&lt;1),"転換","")</f>
        <v>転換</v>
      </c>
      <c r="W47" s="18" t="n">
        <f aca="false">IF(T47="◎売り確定",3,IF(T47="○警戒",1,0))</f>
        <v>0</v>
      </c>
      <c r="X47" s="18" t="n">
        <f aca="false">IF(AND(ISNUMBER(N47),N47&gt;=40),3,IF(AND(ISNUMBER(N47),N47&gt;=32),1,0))</f>
        <v>0</v>
      </c>
    </row>
    <row r="48" customFormat="false" ht="15" hidden="false" customHeight="false" outlineLevel="0" collapsed="false">
      <c r="A48" s="16" t="n">
        <f aca="false">データ!A48</f>
        <v>46188</v>
      </c>
      <c r="B48" s="17" t="n">
        <f aca="false">IFERROR(IF(データ!B48="","",データ!B48),"")</f>
        <v>95</v>
      </c>
      <c r="C48" s="17" t="n">
        <f aca="false">IFERROR(IF(データ!C48="","",データ!C48),"")</f>
        <v>86</v>
      </c>
      <c r="D48" s="18" t="n">
        <f aca="false">IFERROR(B48-C48,"")</f>
        <v>9</v>
      </c>
      <c r="E48" s="19" t="n">
        <f aca="false">IFERROR((B48-C48)/(B48+C48)*100,"")</f>
        <v>4.97237569060774</v>
      </c>
      <c r="F48" s="20" t="n">
        <f aca="false">IFERROR((B48-B47)/B47,"")</f>
        <v>1.02127659574468</v>
      </c>
      <c r="G48" s="20" t="n">
        <f aca="false">IFERROR((C48-C47)/C47,"")</f>
        <v>-0.300813008130081</v>
      </c>
      <c r="H48" s="19" t="n">
        <f aca="false">IFERROR(B48/C48,"")</f>
        <v>1.1046511627907</v>
      </c>
      <c r="I48" s="19" t="n">
        <f aca="false">IFERROR(25*(B48-MIN(INDEX($B$3:$B$72,MAX(3,ROW()-59)-3+1):B48))/(MAX(INDEX($B$3:$B$72,MAX(3,ROW()-59)-3+1):B48)-MIN(INDEX($B$3:$B$72,MAX(3,ROW()-59)-3+1):B48)),12.5)</f>
        <v>10.3693181818182</v>
      </c>
      <c r="J48" s="19" t="n">
        <f aca="false">IFERROR(25*(C48-MIN(INDEX($C$3:$C$72,MAX(3,ROW()-59)-3+1):C48))/(MAX(INDEX($C$3:$C$72,MAX(3,ROW()-59)-3+1):C48)-MIN(INDEX($C$3:$C$72,MAX(3,ROW()-59)-3+1):C48)),12.5)</f>
        <v>4.95356037151703</v>
      </c>
      <c r="K48" s="19" t="n">
        <f aca="false">IFERROR(25*(MAX(INDEX($C$3:$C$72,MAX(3,ROW()-59)-3+1):C48)-C48)/(MAX(INDEX($C$3:$C$72,MAX(3,ROW()-59)-3+1):C48)-MIN(INDEX($C$3:$C$72,MAX(3,ROW()-59)-3+1):C48)),12.5)</f>
        <v>20.046439628483</v>
      </c>
      <c r="L48" s="19" t="n">
        <f aca="false">IFERROR(25*(MAX(INDEX($B$3:$B$72,MAX(3,ROW()-59)-3+1):B48)-B48)/(MAX(INDEX($B$3:$B$72,MAX(3,ROW()-59)-3+1):B48)-MIN(INDEX($B$3:$B$72,MAX(3,ROW()-59)-3+1):B48)),12.5)</f>
        <v>14.6306818181818</v>
      </c>
      <c r="M48" s="19" t="n">
        <f aca="false">IFERROR(I48+K48,"")</f>
        <v>30.4157578103012</v>
      </c>
      <c r="N48" s="19" t="n">
        <f aca="false">IFERROR(L48+J48,"")</f>
        <v>19.5842421896989</v>
      </c>
      <c r="O48" s="18" t="n">
        <f aca="false">IF(AND(ISNUMBER(B48),B48&gt;=100),1,0)</f>
        <v>0</v>
      </c>
      <c r="P48" s="18" t="n">
        <f aca="false">IF(AND(ISNUMBER(B48),ISNUMBER(B47),B48&lt;B47),1,0)</f>
        <v>0</v>
      </c>
      <c r="Q48" s="18" t="n">
        <f aca="false">IF(AND(ISNUMBER(C48),C48&gt;=100),1,0)</f>
        <v>0</v>
      </c>
      <c r="R48" s="18" t="n">
        <f aca="false">IF(AND(ISNUMBER(H48),H48&lt;1.1),1,0)</f>
        <v>0</v>
      </c>
      <c r="S48" s="18" t="n">
        <f aca="false">O48+P48+Q48+R48</f>
        <v>0</v>
      </c>
      <c r="T48" s="21" t="str">
        <f aca="false">IF(S48=4,"◎売り確定",IF(S48=3,"○警戒","-"))</f>
        <v>-</v>
      </c>
      <c r="U48" s="18" t="str">
        <f aca="false">IF(AND(ISNUMBER(D47),ISNUMBER(D48),D47&gt;0,D48&lt;=0),"転換","")</f>
        <v/>
      </c>
      <c r="V48" s="18" t="str">
        <f aca="false">IF(AND(ISNUMBER(H48),H48&lt;1),"転換","")</f>
        <v/>
      </c>
      <c r="W48" s="18" t="n">
        <f aca="false">IF(T48="◎売り確定",3,IF(T48="○警戒",1,0))</f>
        <v>0</v>
      </c>
      <c r="X48" s="18" t="n">
        <f aca="false">IF(AND(ISNUMBER(N48),N48&gt;=40),3,IF(AND(ISNUMBER(N48),N48&gt;=32),1,0))</f>
        <v>0</v>
      </c>
    </row>
    <row r="49" customFormat="false" ht="15" hidden="false" customHeight="false" outlineLevel="0" collapsed="false">
      <c r="A49" s="16" t="n">
        <f aca="false">データ!A49</f>
        <v>46189</v>
      </c>
      <c r="B49" s="17" t="n">
        <f aca="false">IFERROR(IF(データ!B49="","",データ!B49),"")</f>
        <v>47</v>
      </c>
      <c r="C49" s="17" t="n">
        <f aca="false">IFERROR(IF(データ!C49="","",データ!C49),"")</f>
        <v>136</v>
      </c>
      <c r="D49" s="18" t="n">
        <f aca="false">IFERROR(B49-C49,"")</f>
        <v>-89</v>
      </c>
      <c r="E49" s="19" t="n">
        <f aca="false">IFERROR((B49-C49)/(B49+C49)*100,"")</f>
        <v>-48.6338797814208</v>
      </c>
      <c r="F49" s="20" t="n">
        <f aca="false">IFERROR((B49-B48)/B48,"")</f>
        <v>-0.505263157894737</v>
      </c>
      <c r="G49" s="20" t="n">
        <f aca="false">IFERROR((C49-C48)/C48,"")</f>
        <v>0.581395348837209</v>
      </c>
      <c r="H49" s="19" t="n">
        <f aca="false">IFERROR(B49/C49,"")</f>
        <v>0.345588235294118</v>
      </c>
      <c r="I49" s="19" t="n">
        <f aca="false">IFERROR(25*(B49-MIN(INDEX($B$3:$B$72,MAX(3,ROW()-59)-3+1):B49))/(MAX(INDEX($B$3:$B$72,MAX(3,ROW()-59)-3+1):B49)-MIN(INDEX($B$3:$B$72,MAX(3,ROW()-59)-3+1):B49)),12.5)</f>
        <v>3.55113636363636</v>
      </c>
      <c r="J49" s="19" t="n">
        <f aca="false">IFERROR(25*(C49-MIN(INDEX($C$3:$C$72,MAX(3,ROW()-59)-3+1):C49))/(MAX(INDEX($C$3:$C$72,MAX(3,ROW()-59)-3+1):C49)-MIN(INDEX($C$3:$C$72,MAX(3,ROW()-59)-3+1):C49)),12.5)</f>
        <v>8.82352941176471</v>
      </c>
      <c r="K49" s="19" t="n">
        <f aca="false">IFERROR(25*(MAX(INDEX($C$3:$C$72,MAX(3,ROW()-59)-3+1):C49)-C49)/(MAX(INDEX($C$3:$C$72,MAX(3,ROW()-59)-3+1):C49)-MIN(INDEX($C$3:$C$72,MAX(3,ROW()-59)-3+1):C49)),12.5)</f>
        <v>16.1764705882353</v>
      </c>
      <c r="L49" s="19" t="n">
        <f aca="false">IFERROR(25*(MAX(INDEX($B$3:$B$72,MAX(3,ROW()-59)-3+1):B49)-B49)/(MAX(INDEX($B$3:$B$72,MAX(3,ROW()-59)-3+1):B49)-MIN(INDEX($B$3:$B$72,MAX(3,ROW()-59)-3+1):B49)),12.5)</f>
        <v>21.4488636363636</v>
      </c>
      <c r="M49" s="19" t="n">
        <f aca="false">IFERROR(I49+K49,"")</f>
        <v>19.7276069518717</v>
      </c>
      <c r="N49" s="19" t="n">
        <f aca="false">IFERROR(L49+J49,"")</f>
        <v>30.2723930481283</v>
      </c>
      <c r="O49" s="18" t="n">
        <f aca="false">IF(AND(ISNUMBER(B49),B49&gt;=100),1,0)</f>
        <v>0</v>
      </c>
      <c r="P49" s="18" t="n">
        <f aca="false">IF(AND(ISNUMBER(B49),ISNUMBER(B48),B49&lt;B48),1,0)</f>
        <v>1</v>
      </c>
      <c r="Q49" s="18" t="n">
        <f aca="false">IF(AND(ISNUMBER(C49),C49&gt;=100),1,0)</f>
        <v>1</v>
      </c>
      <c r="R49" s="18" t="n">
        <f aca="false">IF(AND(ISNUMBER(H49),H49&lt;1.1),1,0)</f>
        <v>1</v>
      </c>
      <c r="S49" s="18" t="n">
        <f aca="false">O49+P49+Q49+R49</f>
        <v>3</v>
      </c>
      <c r="T49" s="21" t="str">
        <f aca="false">IF(S49=4,"◎売り確定",IF(S49=3,"○警戒","-"))</f>
        <v>○警戒</v>
      </c>
      <c r="U49" s="18" t="str">
        <f aca="false">IF(AND(ISNUMBER(D48),ISNUMBER(D49),D48&gt;0,D49&lt;=0),"転換","")</f>
        <v>転換</v>
      </c>
      <c r="V49" s="18" t="str">
        <f aca="false">IF(AND(ISNUMBER(H49),H49&lt;1),"転換","")</f>
        <v>転換</v>
      </c>
      <c r="W49" s="18" t="n">
        <f aca="false">IF(T49="◎売り確定",3,IF(T49="○警戒",1,0))</f>
        <v>1</v>
      </c>
      <c r="X49" s="18" t="n">
        <f aca="false">IF(AND(ISNUMBER(N49),N49&gt;=40),3,IF(AND(ISNUMBER(N49),N49&gt;=32),1,0))</f>
        <v>0</v>
      </c>
    </row>
    <row r="50" customFormat="false" ht="15" hidden="false" customHeight="false" outlineLevel="0" collapsed="false">
      <c r="A50" s="16" t="n">
        <f aca="false">データ!A50</f>
        <v>46190</v>
      </c>
      <c r="B50" s="17" t="n">
        <f aca="false">IFERROR(IF(データ!B50="","",データ!B50),"")</f>
        <v>65</v>
      </c>
      <c r="C50" s="17" t="n">
        <f aca="false">IFERROR(IF(データ!C50="","",データ!C50),"")</f>
        <v>61</v>
      </c>
      <c r="D50" s="18" t="n">
        <f aca="false">IFERROR(B50-C50,"")</f>
        <v>4</v>
      </c>
      <c r="E50" s="19" t="n">
        <f aca="false">IFERROR((B50-C50)/(B50+C50)*100,"")</f>
        <v>3.17460317460317</v>
      </c>
      <c r="F50" s="20" t="n">
        <f aca="false">IFERROR((B50-B49)/B49,"")</f>
        <v>0.382978723404255</v>
      </c>
      <c r="G50" s="20" t="n">
        <f aca="false">IFERROR((C50-C49)/C49,"")</f>
        <v>-0.551470588235294</v>
      </c>
      <c r="H50" s="19" t="n">
        <f aca="false">IFERROR(B50/C50,"")</f>
        <v>1.0655737704918</v>
      </c>
      <c r="I50" s="19" t="n">
        <f aca="false">IFERROR(25*(B50-MIN(INDEX($B$3:$B$72,MAX(3,ROW()-59)-3+1):B50))/(MAX(INDEX($B$3:$B$72,MAX(3,ROW()-59)-3+1):B50)-MIN(INDEX($B$3:$B$72,MAX(3,ROW()-59)-3+1):B50)),12.5)</f>
        <v>6.10795454545455</v>
      </c>
      <c r="J50" s="19" t="n">
        <f aca="false">IFERROR(25*(C50-MIN(INDEX($C$3:$C$72,MAX(3,ROW()-59)-3+1):C50))/(MAX(INDEX($C$3:$C$72,MAX(3,ROW()-59)-3+1):C50)-MIN(INDEX($C$3:$C$72,MAX(3,ROW()-59)-3+1):C50)),12.5)</f>
        <v>3.01857585139319</v>
      </c>
      <c r="K50" s="19" t="n">
        <f aca="false">IFERROR(25*(MAX(INDEX($C$3:$C$72,MAX(3,ROW()-59)-3+1):C50)-C50)/(MAX(INDEX($C$3:$C$72,MAX(3,ROW()-59)-3+1):C50)-MIN(INDEX($C$3:$C$72,MAX(3,ROW()-59)-3+1):C50)),12.5)</f>
        <v>21.9814241486068</v>
      </c>
      <c r="L50" s="19" t="n">
        <f aca="false">IFERROR(25*(MAX(INDEX($B$3:$B$72,MAX(3,ROW()-59)-3+1):B50)-B50)/(MAX(INDEX($B$3:$B$72,MAX(3,ROW()-59)-3+1):B50)-MIN(INDEX($B$3:$B$72,MAX(3,ROW()-59)-3+1):B50)),12.5)</f>
        <v>18.8920454545455</v>
      </c>
      <c r="M50" s="19" t="n">
        <f aca="false">IFERROR(I50+K50,"")</f>
        <v>28.0893786940614</v>
      </c>
      <c r="N50" s="19" t="n">
        <f aca="false">IFERROR(L50+J50,"")</f>
        <v>21.9106213059386</v>
      </c>
      <c r="O50" s="18" t="n">
        <f aca="false">IF(AND(ISNUMBER(B50),B50&gt;=100),1,0)</f>
        <v>0</v>
      </c>
      <c r="P50" s="18" t="n">
        <f aca="false">IF(AND(ISNUMBER(B50),ISNUMBER(B49),B50&lt;B49),1,0)</f>
        <v>0</v>
      </c>
      <c r="Q50" s="18" t="n">
        <f aca="false">IF(AND(ISNUMBER(C50),C50&gt;=100),1,0)</f>
        <v>0</v>
      </c>
      <c r="R50" s="18" t="n">
        <f aca="false">IF(AND(ISNUMBER(H50),H50&lt;1.1),1,0)</f>
        <v>1</v>
      </c>
      <c r="S50" s="18" t="n">
        <f aca="false">O50+P50+Q50+R50</f>
        <v>1</v>
      </c>
      <c r="T50" s="21" t="str">
        <f aca="false">IF(S50=4,"◎売り確定",IF(S50=3,"○警戒","-"))</f>
        <v>-</v>
      </c>
      <c r="U50" s="18" t="str">
        <f aca="false">IF(AND(ISNUMBER(D49),ISNUMBER(D50),D49&gt;0,D50&lt;=0),"転換","")</f>
        <v/>
      </c>
      <c r="V50" s="18" t="str">
        <f aca="false">IF(AND(ISNUMBER(H50),H50&lt;1),"転換","")</f>
        <v/>
      </c>
      <c r="W50" s="18" t="n">
        <f aca="false">IF(T50="◎売り確定",3,IF(T50="○警戒",1,0))</f>
        <v>0</v>
      </c>
      <c r="X50" s="18" t="n">
        <f aca="false">IF(AND(ISNUMBER(N50),N50&gt;=40),3,IF(AND(ISNUMBER(N50),N50&gt;=32),1,0))</f>
        <v>0</v>
      </c>
    </row>
    <row r="51" customFormat="false" ht="15" hidden="false" customHeight="false" outlineLevel="0" collapsed="false">
      <c r="A51" s="16" t="n">
        <f aca="false">データ!A51</f>
        <v>46191</v>
      </c>
      <c r="B51" s="17" t="n">
        <f aca="false">IFERROR(IF(データ!B51="","",データ!B51),"")</f>
        <v>110</v>
      </c>
      <c r="C51" s="17" t="n">
        <f aca="false">IFERROR(IF(データ!C51="","",データ!C51),"")</f>
        <v>76</v>
      </c>
      <c r="D51" s="18" t="n">
        <f aca="false">IFERROR(B51-C51,"")</f>
        <v>34</v>
      </c>
      <c r="E51" s="19" t="n">
        <f aca="false">IFERROR((B51-C51)/(B51+C51)*100,"")</f>
        <v>18.2795698924731</v>
      </c>
      <c r="F51" s="20" t="n">
        <f aca="false">IFERROR((B51-B50)/B50,"")</f>
        <v>0.692307692307692</v>
      </c>
      <c r="G51" s="20" t="n">
        <f aca="false">IFERROR((C51-C50)/C50,"")</f>
        <v>0.245901639344262</v>
      </c>
      <c r="H51" s="19" t="n">
        <f aca="false">IFERROR(B51/C51,"")</f>
        <v>1.44736842105263</v>
      </c>
      <c r="I51" s="19" t="n">
        <f aca="false">IFERROR(25*(B51-MIN(INDEX($B$3:$B$72,MAX(3,ROW()-59)-3+1):B51))/(MAX(INDEX($B$3:$B$72,MAX(3,ROW()-59)-3+1):B51)-MIN(INDEX($B$3:$B$72,MAX(3,ROW()-59)-3+1):B51)),12.5)</f>
        <v>12.5</v>
      </c>
      <c r="J51" s="19" t="n">
        <f aca="false">IFERROR(25*(C51-MIN(INDEX($C$3:$C$72,MAX(3,ROW()-59)-3+1):C51))/(MAX(INDEX($C$3:$C$72,MAX(3,ROW()-59)-3+1):C51)-MIN(INDEX($C$3:$C$72,MAX(3,ROW()-59)-3+1):C51)),12.5)</f>
        <v>4.17956656346749</v>
      </c>
      <c r="K51" s="19" t="n">
        <f aca="false">IFERROR(25*(MAX(INDEX($C$3:$C$72,MAX(3,ROW()-59)-3+1):C51)-C51)/(MAX(INDEX($C$3:$C$72,MAX(3,ROW()-59)-3+1):C51)-MIN(INDEX($C$3:$C$72,MAX(3,ROW()-59)-3+1):C51)),12.5)</f>
        <v>20.8204334365325</v>
      </c>
      <c r="L51" s="19" t="n">
        <f aca="false">IFERROR(25*(MAX(INDEX($B$3:$B$72,MAX(3,ROW()-59)-3+1):B51)-B51)/(MAX(INDEX($B$3:$B$72,MAX(3,ROW()-59)-3+1):B51)-MIN(INDEX($B$3:$B$72,MAX(3,ROW()-59)-3+1):B51)),12.5)</f>
        <v>12.5</v>
      </c>
      <c r="M51" s="19" t="n">
        <f aca="false">IFERROR(I51+K51,"")</f>
        <v>33.3204334365325</v>
      </c>
      <c r="N51" s="19" t="n">
        <f aca="false">IFERROR(L51+J51,"")</f>
        <v>16.6795665634675</v>
      </c>
      <c r="O51" s="18" t="n">
        <f aca="false">IF(AND(ISNUMBER(B51),B51&gt;=100),1,0)</f>
        <v>1</v>
      </c>
      <c r="P51" s="18" t="n">
        <f aca="false">IF(AND(ISNUMBER(B51),ISNUMBER(B50),B51&lt;B50),1,0)</f>
        <v>0</v>
      </c>
      <c r="Q51" s="18" t="n">
        <f aca="false">IF(AND(ISNUMBER(C51),C51&gt;=100),1,0)</f>
        <v>0</v>
      </c>
      <c r="R51" s="18" t="n">
        <f aca="false">IF(AND(ISNUMBER(H51),H51&lt;1.1),1,0)</f>
        <v>0</v>
      </c>
      <c r="S51" s="18" t="n">
        <f aca="false">O51+P51+Q51+R51</f>
        <v>1</v>
      </c>
      <c r="T51" s="21" t="str">
        <f aca="false">IF(S51=4,"◎売り確定",IF(S51=3,"○警戒","-"))</f>
        <v>-</v>
      </c>
      <c r="U51" s="18" t="str">
        <f aca="false">IF(AND(ISNUMBER(D50),ISNUMBER(D51),D50&gt;0,D51&lt;=0),"転換","")</f>
        <v/>
      </c>
      <c r="V51" s="18" t="str">
        <f aca="false">IF(AND(ISNUMBER(H51),H51&lt;1),"転換","")</f>
        <v/>
      </c>
      <c r="W51" s="18" t="n">
        <f aca="false">IF(T51="◎売り確定",3,IF(T51="○警戒",1,0))</f>
        <v>0</v>
      </c>
      <c r="X51" s="18" t="n">
        <f aca="false">IF(AND(ISNUMBER(N51),N51&gt;=40),3,IF(AND(ISNUMBER(N51),N51&gt;=32),1,0))</f>
        <v>0</v>
      </c>
    </row>
    <row r="52" customFormat="false" ht="15" hidden="false" customHeight="false" outlineLevel="0" collapsed="false">
      <c r="A52" s="16" t="n">
        <f aca="false">データ!A52</f>
        <v>46192</v>
      </c>
      <c r="B52" s="17" t="n">
        <f aca="false">IFERROR(IF(データ!B52="","",データ!B52),"")</f>
        <v>118</v>
      </c>
      <c r="C52" s="17" t="n">
        <f aca="false">IFERROR(IF(データ!C52="","",データ!C52),"")</f>
        <v>114</v>
      </c>
      <c r="D52" s="18" t="n">
        <f aca="false">IFERROR(B52-C52,"")</f>
        <v>4</v>
      </c>
      <c r="E52" s="19" t="n">
        <f aca="false">IFERROR((B52-C52)/(B52+C52)*100,"")</f>
        <v>1.72413793103448</v>
      </c>
      <c r="F52" s="20" t="n">
        <f aca="false">IFERROR((B52-B51)/B51,"")</f>
        <v>0.0727272727272727</v>
      </c>
      <c r="G52" s="20" t="n">
        <f aca="false">IFERROR((C52-C51)/C51,"")</f>
        <v>0.5</v>
      </c>
      <c r="H52" s="19" t="n">
        <f aca="false">IFERROR(B52/C52,"")</f>
        <v>1.03508771929825</v>
      </c>
      <c r="I52" s="19" t="n">
        <f aca="false">IFERROR(25*(B52-MIN(INDEX($B$3:$B$72,MAX(3,ROW()-59)-3+1):B52))/(MAX(INDEX($B$3:$B$72,MAX(3,ROW()-59)-3+1):B52)-MIN(INDEX($B$3:$B$72,MAX(3,ROW()-59)-3+1):B52)),12.5)</f>
        <v>13.6363636363636</v>
      </c>
      <c r="J52" s="19" t="n">
        <f aca="false">IFERROR(25*(C52-MIN(INDEX($C$3:$C$72,MAX(3,ROW()-59)-3+1):C52))/(MAX(INDEX($C$3:$C$72,MAX(3,ROW()-59)-3+1):C52)-MIN(INDEX($C$3:$C$72,MAX(3,ROW()-59)-3+1):C52)),12.5)</f>
        <v>7.12074303405573</v>
      </c>
      <c r="K52" s="19" t="n">
        <f aca="false">IFERROR(25*(MAX(INDEX($C$3:$C$72,MAX(3,ROW()-59)-3+1):C52)-C52)/(MAX(INDEX($C$3:$C$72,MAX(3,ROW()-59)-3+1):C52)-MIN(INDEX($C$3:$C$72,MAX(3,ROW()-59)-3+1):C52)),12.5)</f>
        <v>17.8792569659443</v>
      </c>
      <c r="L52" s="19" t="n">
        <f aca="false">IFERROR(25*(MAX(INDEX($B$3:$B$72,MAX(3,ROW()-59)-3+1):B52)-B52)/(MAX(INDEX($B$3:$B$72,MAX(3,ROW()-59)-3+1):B52)-MIN(INDEX($B$3:$B$72,MAX(3,ROW()-59)-3+1):B52)),12.5)</f>
        <v>11.3636363636364</v>
      </c>
      <c r="M52" s="19" t="n">
        <f aca="false">IFERROR(I52+K52,"")</f>
        <v>31.5156206023079</v>
      </c>
      <c r="N52" s="19" t="n">
        <f aca="false">IFERROR(L52+J52,"")</f>
        <v>18.4843793976921</v>
      </c>
      <c r="O52" s="18" t="n">
        <f aca="false">IF(AND(ISNUMBER(B52),B52&gt;=100),1,0)</f>
        <v>1</v>
      </c>
      <c r="P52" s="18" t="n">
        <f aca="false">IF(AND(ISNUMBER(B52),ISNUMBER(B51),B52&lt;B51),1,0)</f>
        <v>0</v>
      </c>
      <c r="Q52" s="18" t="n">
        <f aca="false">IF(AND(ISNUMBER(C52),C52&gt;=100),1,0)</f>
        <v>1</v>
      </c>
      <c r="R52" s="18" t="n">
        <f aca="false">IF(AND(ISNUMBER(H52),H52&lt;1.1),1,0)</f>
        <v>1</v>
      </c>
      <c r="S52" s="18" t="n">
        <f aca="false">O52+P52+Q52+R52</f>
        <v>3</v>
      </c>
      <c r="T52" s="21" t="str">
        <f aca="false">IF(S52=4,"◎売り確定",IF(S52=3,"○警戒","-"))</f>
        <v>○警戒</v>
      </c>
      <c r="U52" s="18" t="str">
        <f aca="false">IF(AND(ISNUMBER(D51),ISNUMBER(D52),D51&gt;0,D52&lt;=0),"転換","")</f>
        <v/>
      </c>
      <c r="V52" s="18" t="str">
        <f aca="false">IF(AND(ISNUMBER(H52),H52&lt;1),"転換","")</f>
        <v/>
      </c>
      <c r="W52" s="18" t="n">
        <f aca="false">IF(T52="◎売り確定",3,IF(T52="○警戒",1,0))</f>
        <v>1</v>
      </c>
      <c r="X52" s="18" t="n">
        <f aca="false">IF(AND(ISNUMBER(N52),N52&gt;=40),3,IF(AND(ISNUMBER(N52),N52&gt;=32),1,0))</f>
        <v>0</v>
      </c>
    </row>
    <row r="53" customFormat="false" ht="15" hidden="false" customHeight="false" outlineLevel="0" collapsed="false">
      <c r="A53" s="16" t="n">
        <f aca="false">データ!A53</f>
        <v>46195</v>
      </c>
      <c r="B53" s="17" t="n">
        <f aca="false">IFERROR(IF(データ!B53="","",データ!B53),"")</f>
        <v>105</v>
      </c>
      <c r="C53" s="17" t="n">
        <f aca="false">IFERROR(IF(データ!C53="","",データ!C53),"")</f>
        <v>107</v>
      </c>
      <c r="D53" s="18" t="n">
        <f aca="false">IFERROR(B53-C53,"")</f>
        <v>-2</v>
      </c>
      <c r="E53" s="19" t="n">
        <f aca="false">IFERROR((B53-C53)/(B53+C53)*100,"")</f>
        <v>-0.943396226415094</v>
      </c>
      <c r="F53" s="20" t="n">
        <f aca="false">IFERROR((B53-B52)/B52,"")</f>
        <v>-0.110169491525424</v>
      </c>
      <c r="G53" s="20" t="n">
        <f aca="false">IFERROR((C53-C52)/C52,"")</f>
        <v>-0.0614035087719298</v>
      </c>
      <c r="H53" s="19" t="n">
        <f aca="false">IFERROR(B53/C53,"")</f>
        <v>0.981308411214953</v>
      </c>
      <c r="I53" s="19" t="n">
        <f aca="false">IFERROR(25*(B53-MIN(INDEX($B$3:$B$72,MAX(3,ROW()-59)-3+1):B53))/(MAX(INDEX($B$3:$B$72,MAX(3,ROW()-59)-3+1):B53)-MIN(INDEX($B$3:$B$72,MAX(3,ROW()-59)-3+1):B53)),12.5)</f>
        <v>11.7897727272727</v>
      </c>
      <c r="J53" s="19" t="n">
        <f aca="false">IFERROR(25*(C53-MIN(INDEX($C$3:$C$72,MAX(3,ROW()-59)-3+1):C53))/(MAX(INDEX($C$3:$C$72,MAX(3,ROW()-59)-3+1):C53)-MIN(INDEX($C$3:$C$72,MAX(3,ROW()-59)-3+1):C53)),12.5)</f>
        <v>6.57894736842105</v>
      </c>
      <c r="K53" s="19" t="n">
        <f aca="false">IFERROR(25*(MAX(INDEX($C$3:$C$72,MAX(3,ROW()-59)-3+1):C53)-C53)/(MAX(INDEX($C$3:$C$72,MAX(3,ROW()-59)-3+1):C53)-MIN(INDEX($C$3:$C$72,MAX(3,ROW()-59)-3+1):C53)),12.5)</f>
        <v>18.421052631579</v>
      </c>
      <c r="L53" s="19" t="n">
        <f aca="false">IFERROR(25*(MAX(INDEX($B$3:$B$72,MAX(3,ROW()-59)-3+1):B53)-B53)/(MAX(INDEX($B$3:$B$72,MAX(3,ROW()-59)-3+1):B53)-MIN(INDEX($B$3:$B$72,MAX(3,ROW()-59)-3+1):B53)),12.5)</f>
        <v>13.2102272727273</v>
      </c>
      <c r="M53" s="19" t="n">
        <f aca="false">IFERROR(I53+K53,"")</f>
        <v>30.2108253588517</v>
      </c>
      <c r="N53" s="19" t="n">
        <f aca="false">IFERROR(L53+J53,"")</f>
        <v>19.7891746411483</v>
      </c>
      <c r="O53" s="18" t="n">
        <f aca="false">IF(AND(ISNUMBER(B53),B53&gt;=100),1,0)</f>
        <v>1</v>
      </c>
      <c r="P53" s="18" t="n">
        <f aca="false">IF(AND(ISNUMBER(B53),ISNUMBER(B52),B53&lt;B52),1,0)</f>
        <v>1</v>
      </c>
      <c r="Q53" s="18" t="n">
        <f aca="false">IF(AND(ISNUMBER(C53),C53&gt;=100),1,0)</f>
        <v>1</v>
      </c>
      <c r="R53" s="18" t="n">
        <f aca="false">IF(AND(ISNUMBER(H53),H53&lt;1.1),1,0)</f>
        <v>1</v>
      </c>
      <c r="S53" s="18" t="n">
        <f aca="false">O53+P53+Q53+R53</f>
        <v>4</v>
      </c>
      <c r="T53" s="21" t="str">
        <f aca="false">IF(S53=4,"◎売り確定",IF(S53=3,"○警戒","-"))</f>
        <v>◎売り確定</v>
      </c>
      <c r="U53" s="18" t="str">
        <f aca="false">IF(AND(ISNUMBER(D52),ISNUMBER(D53),D52&gt;0,D53&lt;=0),"転換","")</f>
        <v>転換</v>
      </c>
      <c r="V53" s="18" t="str">
        <f aca="false">IF(AND(ISNUMBER(H53),H53&lt;1),"転換","")</f>
        <v>転換</v>
      </c>
      <c r="W53" s="18" t="n">
        <f aca="false">IF(T53="◎売り確定",3,IF(T53="○警戒",1,0))</f>
        <v>3</v>
      </c>
      <c r="X53" s="18" t="n">
        <f aca="false">IF(AND(ISNUMBER(N53),N53&gt;=40),3,IF(AND(ISNUMBER(N53),N53&gt;=32),1,0))</f>
        <v>0</v>
      </c>
    </row>
    <row r="54" customFormat="false" ht="15" hidden="false" customHeight="false" outlineLevel="0" collapsed="false">
      <c r="A54" s="16" t="n">
        <f aca="false">データ!A54</f>
        <v>46196</v>
      </c>
      <c r="B54" s="17" t="n">
        <f aca="false">IFERROR(IF(データ!B54="","",データ!B54),"")</f>
        <v>73</v>
      </c>
      <c r="C54" s="17" t="n">
        <f aca="false">IFERROR(IF(データ!C54="","",データ!C54),"")</f>
        <v>157</v>
      </c>
      <c r="D54" s="18" t="n">
        <f aca="false">IFERROR(B54-C54,"")</f>
        <v>-84</v>
      </c>
      <c r="E54" s="19" t="n">
        <f aca="false">IFERROR((B54-C54)/(B54+C54)*100,"")</f>
        <v>-36.5217391304348</v>
      </c>
      <c r="F54" s="20" t="n">
        <f aca="false">IFERROR((B54-B53)/B53,"")</f>
        <v>-0.304761904761905</v>
      </c>
      <c r="G54" s="20" t="n">
        <f aca="false">IFERROR((C54-C53)/C53,"")</f>
        <v>0.467289719626168</v>
      </c>
      <c r="H54" s="19" t="n">
        <f aca="false">IFERROR(B54/C54,"")</f>
        <v>0.464968152866242</v>
      </c>
      <c r="I54" s="19" t="n">
        <f aca="false">IFERROR(25*(B54-MIN(INDEX($B$3:$B$72,MAX(3,ROW()-59)-3+1):B54))/(MAX(INDEX($B$3:$B$72,MAX(3,ROW()-59)-3+1):B54)-MIN(INDEX($B$3:$B$72,MAX(3,ROW()-59)-3+1):B54)),12.5)</f>
        <v>7.24431818181818</v>
      </c>
      <c r="J54" s="19" t="n">
        <f aca="false">IFERROR(25*(C54-MIN(INDEX($C$3:$C$72,MAX(3,ROW()-59)-3+1):C54))/(MAX(INDEX($C$3:$C$72,MAX(3,ROW()-59)-3+1):C54)-MIN(INDEX($C$3:$C$72,MAX(3,ROW()-59)-3+1):C54)),12.5)</f>
        <v>10.4489164086687</v>
      </c>
      <c r="K54" s="19" t="n">
        <f aca="false">IFERROR(25*(MAX(INDEX($C$3:$C$72,MAX(3,ROW()-59)-3+1):C54)-C54)/(MAX(INDEX($C$3:$C$72,MAX(3,ROW()-59)-3+1):C54)-MIN(INDEX($C$3:$C$72,MAX(3,ROW()-59)-3+1):C54)),12.5)</f>
        <v>14.5510835913313</v>
      </c>
      <c r="L54" s="19" t="n">
        <f aca="false">IFERROR(25*(MAX(INDEX($B$3:$B$72,MAX(3,ROW()-59)-3+1):B54)-B54)/(MAX(INDEX($B$3:$B$72,MAX(3,ROW()-59)-3+1):B54)-MIN(INDEX($B$3:$B$72,MAX(3,ROW()-59)-3+1):B54)),12.5)</f>
        <v>17.7556818181818</v>
      </c>
      <c r="M54" s="19" t="n">
        <f aca="false">IFERROR(I54+K54,"")</f>
        <v>21.7954017731495</v>
      </c>
      <c r="N54" s="19" t="n">
        <f aca="false">IFERROR(L54+J54,"")</f>
        <v>28.2045982268506</v>
      </c>
      <c r="O54" s="18" t="n">
        <f aca="false">IF(AND(ISNUMBER(B54),B54&gt;=100),1,0)</f>
        <v>0</v>
      </c>
      <c r="P54" s="18" t="n">
        <f aca="false">IF(AND(ISNUMBER(B54),ISNUMBER(B53),B54&lt;B53),1,0)</f>
        <v>1</v>
      </c>
      <c r="Q54" s="18" t="n">
        <f aca="false">IF(AND(ISNUMBER(C54),C54&gt;=100),1,0)</f>
        <v>1</v>
      </c>
      <c r="R54" s="18" t="n">
        <f aca="false">IF(AND(ISNUMBER(H54),H54&lt;1.1),1,0)</f>
        <v>1</v>
      </c>
      <c r="S54" s="18" t="n">
        <f aca="false">O54+P54+Q54+R54</f>
        <v>3</v>
      </c>
      <c r="T54" s="21" t="str">
        <f aca="false">IF(S54=4,"◎売り確定",IF(S54=3,"○警戒","-"))</f>
        <v>○警戒</v>
      </c>
      <c r="U54" s="18" t="str">
        <f aca="false">IF(AND(ISNUMBER(D53),ISNUMBER(D54),D53&gt;0,D54&lt;=0),"転換","")</f>
        <v/>
      </c>
      <c r="V54" s="18" t="str">
        <f aca="false">IF(AND(ISNUMBER(H54),H54&lt;1),"転換","")</f>
        <v>転換</v>
      </c>
      <c r="W54" s="18" t="n">
        <f aca="false">IF(T54="◎売り確定",3,IF(T54="○警戒",1,0))</f>
        <v>1</v>
      </c>
      <c r="X54" s="18" t="n">
        <f aca="false">IF(AND(ISNUMBER(N54),N54&gt;=40),3,IF(AND(ISNUMBER(N54),N54&gt;=32),1,0))</f>
        <v>0</v>
      </c>
    </row>
    <row r="55" customFormat="false" ht="15" hidden="false" customHeight="false" outlineLevel="0" collapsed="false">
      <c r="A55" s="16" t="n">
        <f aca="false">データ!A55</f>
        <v>46197</v>
      </c>
      <c r="B55" s="17" t="n">
        <f aca="false">IFERROR(IF(データ!B55="","",データ!B55),"")</f>
        <v>31</v>
      </c>
      <c r="C55" s="17" t="n">
        <f aca="false">IFERROR(IF(データ!C55="","",データ!C55),"")</f>
        <v>124</v>
      </c>
      <c r="D55" s="18" t="n">
        <f aca="false">IFERROR(B55-C55,"")</f>
        <v>-93</v>
      </c>
      <c r="E55" s="19" t="n">
        <f aca="false">IFERROR((B55-C55)/(B55+C55)*100,"")</f>
        <v>-60</v>
      </c>
      <c r="F55" s="20" t="n">
        <f aca="false">IFERROR((B55-B54)/B54,"")</f>
        <v>-0.575342465753425</v>
      </c>
      <c r="G55" s="20" t="n">
        <f aca="false">IFERROR((C55-C54)/C54,"")</f>
        <v>-0.210191082802548</v>
      </c>
      <c r="H55" s="19" t="n">
        <f aca="false">IFERROR(B55/C55,"")</f>
        <v>0.25</v>
      </c>
      <c r="I55" s="19" t="n">
        <f aca="false">IFERROR(25*(B55-MIN(INDEX($B$3:$B$72,MAX(3,ROW()-59)-3+1):B55))/(MAX(INDEX($B$3:$B$72,MAX(3,ROW()-59)-3+1):B55)-MIN(INDEX($B$3:$B$72,MAX(3,ROW()-59)-3+1):B55)),12.5)</f>
        <v>1.27840909090909</v>
      </c>
      <c r="J55" s="19" t="n">
        <f aca="false">IFERROR(25*(C55-MIN(INDEX($C$3:$C$72,MAX(3,ROW()-59)-3+1):C55))/(MAX(INDEX($C$3:$C$72,MAX(3,ROW()-59)-3+1):C55)-MIN(INDEX($C$3:$C$72,MAX(3,ROW()-59)-3+1):C55)),12.5)</f>
        <v>7.89473684210526</v>
      </c>
      <c r="K55" s="19" t="n">
        <f aca="false">IFERROR(25*(MAX(INDEX($C$3:$C$72,MAX(3,ROW()-59)-3+1):C55)-C55)/(MAX(INDEX($C$3:$C$72,MAX(3,ROW()-59)-3+1):C55)-MIN(INDEX($C$3:$C$72,MAX(3,ROW()-59)-3+1):C55)),12.5)</f>
        <v>17.1052631578947</v>
      </c>
      <c r="L55" s="19" t="n">
        <f aca="false">IFERROR(25*(MAX(INDEX($B$3:$B$72,MAX(3,ROW()-59)-3+1):B55)-B55)/(MAX(INDEX($B$3:$B$72,MAX(3,ROW()-59)-3+1):B55)-MIN(INDEX($B$3:$B$72,MAX(3,ROW()-59)-3+1):B55)),12.5)</f>
        <v>23.7215909090909</v>
      </c>
      <c r="M55" s="19" t="n">
        <f aca="false">IFERROR(I55+K55,"")</f>
        <v>18.3836722488038</v>
      </c>
      <c r="N55" s="19" t="n">
        <f aca="false">IFERROR(L55+J55,"")</f>
        <v>31.6163277511962</v>
      </c>
      <c r="O55" s="18" t="n">
        <f aca="false">IF(AND(ISNUMBER(B55),B55&gt;=100),1,0)</f>
        <v>0</v>
      </c>
      <c r="P55" s="18" t="n">
        <f aca="false">IF(AND(ISNUMBER(B55),ISNUMBER(B54),B55&lt;B54),1,0)</f>
        <v>1</v>
      </c>
      <c r="Q55" s="18" t="n">
        <f aca="false">IF(AND(ISNUMBER(C55),C55&gt;=100),1,0)</f>
        <v>1</v>
      </c>
      <c r="R55" s="18" t="n">
        <f aca="false">IF(AND(ISNUMBER(H55),H55&lt;1.1),1,0)</f>
        <v>1</v>
      </c>
      <c r="S55" s="18" t="n">
        <f aca="false">O55+P55+Q55+R55</f>
        <v>3</v>
      </c>
      <c r="T55" s="21" t="str">
        <f aca="false">IF(S55=4,"◎売り確定",IF(S55=3,"○警戒","-"))</f>
        <v>○警戒</v>
      </c>
      <c r="U55" s="18" t="str">
        <f aca="false">IF(AND(ISNUMBER(D54),ISNUMBER(D55),D54&gt;0,D55&lt;=0),"転換","")</f>
        <v/>
      </c>
      <c r="V55" s="18" t="str">
        <f aca="false">IF(AND(ISNUMBER(H55),H55&lt;1),"転換","")</f>
        <v>転換</v>
      </c>
      <c r="W55" s="18" t="n">
        <f aca="false">IF(T55="◎売り確定",3,IF(T55="○警戒",1,0))</f>
        <v>1</v>
      </c>
      <c r="X55" s="18" t="n">
        <f aca="false">IF(AND(ISNUMBER(N55),N55&gt;=40),3,IF(AND(ISNUMBER(N55),N55&gt;=32),1,0))</f>
        <v>0</v>
      </c>
    </row>
    <row r="56" customFormat="false" ht="15" hidden="false" customHeight="false" outlineLevel="0" collapsed="false">
      <c r="A56" s="16" t="n">
        <f aca="false">データ!A56</f>
        <v>46198</v>
      </c>
      <c r="B56" s="17" t="n">
        <f aca="false">IFERROR(IF(データ!B56="","",データ!B56),"")</f>
        <v>70</v>
      </c>
      <c r="C56" s="17" t="n">
        <f aca="false">IFERROR(IF(データ!C56="","",データ!C56),"")</f>
        <v>91</v>
      </c>
      <c r="D56" s="18" t="n">
        <f aca="false">IFERROR(B56-C56,"")</f>
        <v>-21</v>
      </c>
      <c r="E56" s="19" t="n">
        <f aca="false">IFERROR((B56-C56)/(B56+C56)*100,"")</f>
        <v>-13.0434782608696</v>
      </c>
      <c r="F56" s="20" t="n">
        <f aca="false">IFERROR((B56-B55)/B55,"")</f>
        <v>1.25806451612903</v>
      </c>
      <c r="G56" s="20" t="n">
        <f aca="false">IFERROR((C56-C55)/C55,"")</f>
        <v>-0.266129032258065</v>
      </c>
      <c r="H56" s="19" t="n">
        <f aca="false">IFERROR(B56/C56,"")</f>
        <v>0.769230769230769</v>
      </c>
      <c r="I56" s="19" t="n">
        <f aca="false">IFERROR(25*(B56-MIN(INDEX($B$3:$B$72,MAX(3,ROW()-59)-3+1):B56))/(MAX(INDEX($B$3:$B$72,MAX(3,ROW()-59)-3+1):B56)-MIN(INDEX($B$3:$B$72,MAX(3,ROW()-59)-3+1):B56)),12.5)</f>
        <v>6.81818181818182</v>
      </c>
      <c r="J56" s="19" t="n">
        <f aca="false">IFERROR(25*(C56-MIN(INDEX($C$3:$C$72,MAX(3,ROW()-59)-3+1):C56))/(MAX(INDEX($C$3:$C$72,MAX(3,ROW()-59)-3+1):C56)-MIN(INDEX($C$3:$C$72,MAX(3,ROW()-59)-3+1):C56)),12.5)</f>
        <v>5.3405572755418</v>
      </c>
      <c r="K56" s="19" t="n">
        <f aca="false">IFERROR(25*(MAX(INDEX($C$3:$C$72,MAX(3,ROW()-59)-3+1):C56)-C56)/(MAX(INDEX($C$3:$C$72,MAX(3,ROW()-59)-3+1):C56)-MIN(INDEX($C$3:$C$72,MAX(3,ROW()-59)-3+1):C56)),12.5)</f>
        <v>19.6594427244582</v>
      </c>
      <c r="L56" s="19" t="n">
        <f aca="false">IFERROR(25*(MAX(INDEX($B$3:$B$72,MAX(3,ROW()-59)-3+1):B56)-B56)/(MAX(INDEX($B$3:$B$72,MAX(3,ROW()-59)-3+1):B56)-MIN(INDEX($B$3:$B$72,MAX(3,ROW()-59)-3+1):B56)),12.5)</f>
        <v>18.1818181818182</v>
      </c>
      <c r="M56" s="19" t="n">
        <f aca="false">IFERROR(I56+K56,"")</f>
        <v>26.47762454264</v>
      </c>
      <c r="N56" s="19" t="n">
        <f aca="false">IFERROR(L56+J56,"")</f>
        <v>23.52237545736</v>
      </c>
      <c r="O56" s="18" t="n">
        <f aca="false">IF(AND(ISNUMBER(B56),B56&gt;=100),1,0)</f>
        <v>0</v>
      </c>
      <c r="P56" s="18" t="n">
        <f aca="false">IF(AND(ISNUMBER(B56),ISNUMBER(B55),B56&lt;B55),1,0)</f>
        <v>0</v>
      </c>
      <c r="Q56" s="18" t="n">
        <f aca="false">IF(AND(ISNUMBER(C56),C56&gt;=100),1,0)</f>
        <v>0</v>
      </c>
      <c r="R56" s="18" t="n">
        <f aca="false">IF(AND(ISNUMBER(H56),H56&lt;1.1),1,0)</f>
        <v>1</v>
      </c>
      <c r="S56" s="18" t="n">
        <f aca="false">O56+P56+Q56+R56</f>
        <v>1</v>
      </c>
      <c r="T56" s="21" t="str">
        <f aca="false">IF(S56=4,"◎売り確定",IF(S56=3,"○警戒","-"))</f>
        <v>-</v>
      </c>
      <c r="U56" s="18" t="str">
        <f aca="false">IF(AND(ISNUMBER(D55),ISNUMBER(D56),D55&gt;0,D56&lt;=0),"転換","")</f>
        <v/>
      </c>
      <c r="V56" s="18" t="str">
        <f aca="false">IF(AND(ISNUMBER(H56),H56&lt;1),"転換","")</f>
        <v>転換</v>
      </c>
      <c r="W56" s="18" t="n">
        <f aca="false">IF(T56="◎売り確定",3,IF(T56="○警戒",1,0))</f>
        <v>0</v>
      </c>
      <c r="X56" s="18" t="n">
        <f aca="false">IF(AND(ISNUMBER(N56),N56&gt;=40),3,IF(AND(ISNUMBER(N56),N56&gt;=32),1,0))</f>
        <v>0</v>
      </c>
    </row>
    <row r="57" customFormat="false" ht="15" hidden="false" customHeight="false" outlineLevel="0" collapsed="false">
      <c r="A57" s="16" t="n">
        <f aca="false">データ!A57</f>
        <v>46199</v>
      </c>
      <c r="B57" s="17" t="n">
        <f aca="false">IFERROR(IF(データ!B57="","",データ!B57),"")</f>
        <v>55</v>
      </c>
      <c r="C57" s="17" t="n">
        <f aca="false">IFERROR(IF(データ!C57="","",データ!C57),"")</f>
        <v>126</v>
      </c>
      <c r="D57" s="18" t="n">
        <f aca="false">IFERROR(B57-C57,"")</f>
        <v>-71</v>
      </c>
      <c r="E57" s="19" t="n">
        <f aca="false">IFERROR((B57-C57)/(B57+C57)*100,"")</f>
        <v>-39.2265193370166</v>
      </c>
      <c r="F57" s="20" t="n">
        <f aca="false">IFERROR((B57-B56)/B56,"")</f>
        <v>-0.214285714285714</v>
      </c>
      <c r="G57" s="20" t="n">
        <f aca="false">IFERROR((C57-C56)/C56,"")</f>
        <v>0.384615384615385</v>
      </c>
      <c r="H57" s="19" t="n">
        <f aca="false">IFERROR(B57/C57,"")</f>
        <v>0.436507936507937</v>
      </c>
      <c r="I57" s="19" t="n">
        <f aca="false">IFERROR(25*(B57-MIN(INDEX($B$3:$B$72,MAX(3,ROW()-59)-3+1):B57))/(MAX(INDEX($B$3:$B$72,MAX(3,ROW()-59)-3+1):B57)-MIN(INDEX($B$3:$B$72,MAX(3,ROW()-59)-3+1):B57)),12.5)</f>
        <v>4.6875</v>
      </c>
      <c r="J57" s="19" t="n">
        <f aca="false">IFERROR(25*(C57-MIN(INDEX($C$3:$C$72,MAX(3,ROW()-59)-3+1):C57))/(MAX(INDEX($C$3:$C$72,MAX(3,ROW()-59)-3+1):C57)-MIN(INDEX($C$3:$C$72,MAX(3,ROW()-59)-3+1):C57)),12.5)</f>
        <v>8.04953560371517</v>
      </c>
      <c r="K57" s="19" t="n">
        <f aca="false">IFERROR(25*(MAX(INDEX($C$3:$C$72,MAX(3,ROW()-59)-3+1):C57)-C57)/(MAX(INDEX($C$3:$C$72,MAX(3,ROW()-59)-3+1):C57)-MIN(INDEX($C$3:$C$72,MAX(3,ROW()-59)-3+1):C57)),12.5)</f>
        <v>16.9504643962848</v>
      </c>
      <c r="L57" s="19" t="n">
        <f aca="false">IFERROR(25*(MAX(INDEX($B$3:$B$72,MAX(3,ROW()-59)-3+1):B57)-B57)/(MAX(INDEX($B$3:$B$72,MAX(3,ROW()-59)-3+1):B57)-MIN(INDEX($B$3:$B$72,MAX(3,ROW()-59)-3+1):B57)),12.5)</f>
        <v>20.3125</v>
      </c>
      <c r="M57" s="19" t="n">
        <f aca="false">IFERROR(I57+K57,"")</f>
        <v>21.6379643962848</v>
      </c>
      <c r="N57" s="19" t="n">
        <f aca="false">IFERROR(L57+J57,"")</f>
        <v>28.3620356037152</v>
      </c>
      <c r="O57" s="18" t="n">
        <f aca="false">IF(AND(ISNUMBER(B57),B57&gt;=100),1,0)</f>
        <v>0</v>
      </c>
      <c r="P57" s="18" t="n">
        <f aca="false">IF(AND(ISNUMBER(B57),ISNUMBER(B56),B57&lt;B56),1,0)</f>
        <v>1</v>
      </c>
      <c r="Q57" s="18" t="n">
        <f aca="false">IF(AND(ISNUMBER(C57),C57&gt;=100),1,0)</f>
        <v>1</v>
      </c>
      <c r="R57" s="18" t="n">
        <f aca="false">IF(AND(ISNUMBER(H57),H57&lt;1.1),1,0)</f>
        <v>1</v>
      </c>
      <c r="S57" s="18" t="n">
        <f aca="false">O57+P57+Q57+R57</f>
        <v>3</v>
      </c>
      <c r="T57" s="21" t="str">
        <f aca="false">IF(S57=4,"◎売り確定",IF(S57=3,"○警戒","-"))</f>
        <v>○警戒</v>
      </c>
      <c r="U57" s="18" t="str">
        <f aca="false">IF(AND(ISNUMBER(D56),ISNUMBER(D57),D56&gt;0,D57&lt;=0),"転換","")</f>
        <v/>
      </c>
      <c r="V57" s="18" t="str">
        <f aca="false">IF(AND(ISNUMBER(H57),H57&lt;1),"転換","")</f>
        <v>転換</v>
      </c>
      <c r="W57" s="18" t="n">
        <f aca="false">IF(T57="◎売り確定",3,IF(T57="○警戒",1,0))</f>
        <v>1</v>
      </c>
      <c r="X57" s="18" t="n">
        <f aca="false">IF(AND(ISNUMBER(N57),N57&gt;=40),3,IF(AND(ISNUMBER(N57),N57&gt;=32),1,0))</f>
        <v>0</v>
      </c>
    </row>
    <row r="58" customFormat="false" ht="15" hidden="false" customHeight="false" outlineLevel="0" collapsed="false">
      <c r="A58" s="16" t="n">
        <f aca="false">データ!A58</f>
        <v>46202</v>
      </c>
      <c r="B58" s="17" t="n">
        <f aca="false">IFERROR(IF(データ!B58="","",データ!B58),"")</f>
        <v>61</v>
      </c>
      <c r="C58" s="17" t="n">
        <f aca="false">IFERROR(IF(データ!C58="","",データ!C58),"")</f>
        <v>78</v>
      </c>
      <c r="D58" s="18" t="n">
        <f aca="false">IFERROR(B58-C58,"")</f>
        <v>-17</v>
      </c>
      <c r="E58" s="19" t="n">
        <f aca="false">IFERROR((B58-C58)/(B58+C58)*100,"")</f>
        <v>-12.2302158273381</v>
      </c>
      <c r="F58" s="20" t="n">
        <f aca="false">IFERROR((B58-B57)/B57,"")</f>
        <v>0.109090909090909</v>
      </c>
      <c r="G58" s="20" t="n">
        <f aca="false">IFERROR((C58-C57)/C57,"")</f>
        <v>-0.380952380952381</v>
      </c>
      <c r="H58" s="19" t="n">
        <f aca="false">IFERROR(B58/C58,"")</f>
        <v>0.782051282051282</v>
      </c>
      <c r="I58" s="19" t="n">
        <f aca="false">IFERROR(25*(B58-MIN(INDEX($B$3:$B$72,MAX(3,ROW()-59)-3+1):B58))/(MAX(INDEX($B$3:$B$72,MAX(3,ROW()-59)-3+1):B58)-MIN(INDEX($B$3:$B$72,MAX(3,ROW()-59)-3+1):B58)),12.5)</f>
        <v>5.53977272727273</v>
      </c>
      <c r="J58" s="19" t="n">
        <f aca="false">IFERROR(25*(C58-MIN(INDEX($C$3:$C$72,MAX(3,ROW()-59)-3+1):C58))/(MAX(INDEX($C$3:$C$72,MAX(3,ROW()-59)-3+1):C58)-MIN(INDEX($C$3:$C$72,MAX(3,ROW()-59)-3+1):C58)),12.5)</f>
        <v>4.3343653250774</v>
      </c>
      <c r="K58" s="19" t="n">
        <f aca="false">IFERROR(25*(MAX(INDEX($C$3:$C$72,MAX(3,ROW()-59)-3+1):C58)-C58)/(MAX(INDEX($C$3:$C$72,MAX(3,ROW()-59)-3+1):C58)-MIN(INDEX($C$3:$C$72,MAX(3,ROW()-59)-3+1):C58)),12.5)</f>
        <v>20.6656346749226</v>
      </c>
      <c r="L58" s="19" t="n">
        <f aca="false">IFERROR(25*(MAX(INDEX($B$3:$B$72,MAX(3,ROW()-59)-3+1):B58)-B58)/(MAX(INDEX($B$3:$B$72,MAX(3,ROW()-59)-3+1):B58)-MIN(INDEX($B$3:$B$72,MAX(3,ROW()-59)-3+1):B58)),12.5)</f>
        <v>19.4602272727273</v>
      </c>
      <c r="M58" s="19" t="n">
        <f aca="false">IFERROR(I58+K58,"")</f>
        <v>26.2054074021953</v>
      </c>
      <c r="N58" s="19" t="n">
        <f aca="false">IFERROR(L58+J58,"")</f>
        <v>23.7945925978047</v>
      </c>
      <c r="O58" s="18" t="n">
        <f aca="false">IF(AND(ISNUMBER(B58),B58&gt;=100),1,0)</f>
        <v>0</v>
      </c>
      <c r="P58" s="18" t="n">
        <f aca="false">IF(AND(ISNUMBER(B58),ISNUMBER(B57),B58&lt;B57),1,0)</f>
        <v>0</v>
      </c>
      <c r="Q58" s="18" t="n">
        <f aca="false">IF(AND(ISNUMBER(C58),C58&gt;=100),1,0)</f>
        <v>0</v>
      </c>
      <c r="R58" s="18" t="n">
        <f aca="false">IF(AND(ISNUMBER(H58),H58&lt;1.1),1,0)</f>
        <v>1</v>
      </c>
      <c r="S58" s="18" t="n">
        <f aca="false">O58+P58+Q58+R58</f>
        <v>1</v>
      </c>
      <c r="T58" s="21" t="str">
        <f aca="false">IF(S58=4,"◎売り確定",IF(S58=3,"○警戒","-"))</f>
        <v>-</v>
      </c>
      <c r="U58" s="18" t="str">
        <f aca="false">IF(AND(ISNUMBER(D57),ISNUMBER(D58),D57&gt;0,D58&lt;=0),"転換","")</f>
        <v/>
      </c>
      <c r="V58" s="18" t="str">
        <f aca="false">IF(AND(ISNUMBER(H58),H58&lt;1),"転換","")</f>
        <v>転換</v>
      </c>
      <c r="W58" s="18" t="n">
        <f aca="false">IF(T58="◎売り確定",3,IF(T58="○警戒",1,0))</f>
        <v>0</v>
      </c>
      <c r="X58" s="18" t="n">
        <f aca="false">IF(AND(ISNUMBER(N58),N58&gt;=40),3,IF(AND(ISNUMBER(N58),N58&gt;=32),1,0))</f>
        <v>0</v>
      </c>
    </row>
    <row r="59" customFormat="false" ht="15" hidden="false" customHeight="false" outlineLevel="0" collapsed="false">
      <c r="A59" s="16" t="n">
        <f aca="false">データ!A59</f>
        <v>46203</v>
      </c>
      <c r="B59" s="17" t="n">
        <f aca="false">IFERROR(IF(データ!B59="","",データ!B59),"")</f>
        <v>64</v>
      </c>
      <c r="C59" s="17" t="n">
        <f aca="false">IFERROR(IF(データ!C59="","",データ!C59),"")</f>
        <v>38</v>
      </c>
      <c r="D59" s="18" t="n">
        <f aca="false">IFERROR(B59-C59,"")</f>
        <v>26</v>
      </c>
      <c r="E59" s="19" t="n">
        <f aca="false">IFERROR((B59-C59)/(B59+C59)*100,"")</f>
        <v>25.4901960784314</v>
      </c>
      <c r="F59" s="20" t="n">
        <f aca="false">IFERROR((B59-B58)/B58,"")</f>
        <v>0.0491803278688525</v>
      </c>
      <c r="G59" s="20" t="n">
        <f aca="false">IFERROR((C59-C58)/C58,"")</f>
        <v>-0.512820512820513</v>
      </c>
      <c r="H59" s="19" t="n">
        <f aca="false">IFERROR(B59/C59,"")</f>
        <v>1.68421052631579</v>
      </c>
      <c r="I59" s="19" t="n">
        <f aca="false">IFERROR(25*(B59-MIN(INDEX($B$3:$B$72,MAX(3,ROW()-59)-3+1):B59))/(MAX(INDEX($B$3:$B$72,MAX(3,ROW()-59)-3+1):B59)-MIN(INDEX($B$3:$B$72,MAX(3,ROW()-59)-3+1):B59)),12.5)</f>
        <v>5.96590909090909</v>
      </c>
      <c r="J59" s="19" t="n">
        <f aca="false">IFERROR(25*(C59-MIN(INDEX($C$3:$C$72,MAX(3,ROW()-59)-3+1):C59))/(MAX(INDEX($C$3:$C$72,MAX(3,ROW()-59)-3+1):C59)-MIN(INDEX($C$3:$C$72,MAX(3,ROW()-59)-3+1):C59)),12.5)</f>
        <v>1.23839009287926</v>
      </c>
      <c r="K59" s="19" t="n">
        <f aca="false">IFERROR(25*(MAX(INDEX($C$3:$C$72,MAX(3,ROW()-59)-3+1):C59)-C59)/(MAX(INDEX($C$3:$C$72,MAX(3,ROW()-59)-3+1):C59)-MIN(INDEX($C$3:$C$72,MAX(3,ROW()-59)-3+1):C59)),12.5)</f>
        <v>23.7616099071207</v>
      </c>
      <c r="L59" s="19" t="n">
        <f aca="false">IFERROR(25*(MAX(INDEX($B$3:$B$72,MAX(3,ROW()-59)-3+1):B59)-B59)/(MAX(INDEX($B$3:$B$72,MAX(3,ROW()-59)-3+1):B59)-MIN(INDEX($B$3:$B$72,MAX(3,ROW()-59)-3+1):B59)),12.5)</f>
        <v>19.0340909090909</v>
      </c>
      <c r="M59" s="19" t="n">
        <f aca="false">IFERROR(I59+K59,"")</f>
        <v>29.7275189980298</v>
      </c>
      <c r="N59" s="19" t="n">
        <f aca="false">IFERROR(L59+J59,"")</f>
        <v>20.2724810019702</v>
      </c>
      <c r="O59" s="18" t="n">
        <f aca="false">IF(AND(ISNUMBER(B59),B59&gt;=100),1,0)</f>
        <v>0</v>
      </c>
      <c r="P59" s="18" t="n">
        <f aca="false">IF(AND(ISNUMBER(B59),ISNUMBER(B58),B59&lt;B58),1,0)</f>
        <v>0</v>
      </c>
      <c r="Q59" s="18" t="n">
        <f aca="false">IF(AND(ISNUMBER(C59),C59&gt;=100),1,0)</f>
        <v>0</v>
      </c>
      <c r="R59" s="18" t="n">
        <f aca="false">IF(AND(ISNUMBER(H59),H59&lt;1.1),1,0)</f>
        <v>0</v>
      </c>
      <c r="S59" s="18" t="n">
        <f aca="false">O59+P59+Q59+R59</f>
        <v>0</v>
      </c>
      <c r="T59" s="21" t="str">
        <f aca="false">IF(S59=4,"◎売り確定",IF(S59=3,"○警戒","-"))</f>
        <v>-</v>
      </c>
      <c r="U59" s="18" t="str">
        <f aca="false">IF(AND(ISNUMBER(D58),ISNUMBER(D59),D58&gt;0,D59&lt;=0),"転換","")</f>
        <v/>
      </c>
      <c r="V59" s="18" t="str">
        <f aca="false">IF(AND(ISNUMBER(H59),H59&lt;1),"転換","")</f>
        <v/>
      </c>
      <c r="W59" s="18" t="n">
        <f aca="false">IF(T59="◎売り確定",3,IF(T59="○警戒",1,0))</f>
        <v>0</v>
      </c>
      <c r="X59" s="18" t="n">
        <f aca="false">IF(AND(ISNUMBER(N59),N59&gt;=40),3,IF(AND(ISNUMBER(N59),N59&gt;=32),1,0))</f>
        <v>0</v>
      </c>
    </row>
    <row r="60" customFormat="false" ht="15" hidden="false" customHeight="false" outlineLevel="0" collapsed="false">
      <c r="A60" s="16" t="n">
        <f aca="false">データ!A60</f>
        <v>46204</v>
      </c>
      <c r="B60" s="17" t="n">
        <f aca="false">IFERROR(IF(データ!B60="","",データ!B60),"")</f>
        <v>72</v>
      </c>
      <c r="C60" s="17" t="n">
        <f aca="false">IFERROR(IF(データ!C60="","",データ!C60),"")</f>
        <v>30</v>
      </c>
      <c r="D60" s="18" t="n">
        <f aca="false">IFERROR(B60-C60,"")</f>
        <v>42</v>
      </c>
      <c r="E60" s="19" t="n">
        <f aca="false">IFERROR((B60-C60)/(B60+C60)*100,"")</f>
        <v>41.1764705882353</v>
      </c>
      <c r="F60" s="20" t="n">
        <f aca="false">IFERROR((B60-B59)/B59,"")</f>
        <v>0.125</v>
      </c>
      <c r="G60" s="20" t="n">
        <f aca="false">IFERROR((C60-C59)/C59,"")</f>
        <v>-0.210526315789474</v>
      </c>
      <c r="H60" s="19" t="n">
        <f aca="false">IFERROR(B60/C60,"")</f>
        <v>2.4</v>
      </c>
      <c r="I60" s="19" t="n">
        <f aca="false">IFERROR(25*(B60-MIN(INDEX($B$3:$B$72,MAX(3,ROW()-59)-3+1):B60))/(MAX(INDEX($B$3:$B$72,MAX(3,ROW()-59)-3+1):B60)-MIN(INDEX($B$3:$B$72,MAX(3,ROW()-59)-3+1):B60)),12.5)</f>
        <v>7.10227272727273</v>
      </c>
      <c r="J60" s="19" t="n">
        <f aca="false">IFERROR(25*(C60-MIN(INDEX($C$3:$C$72,MAX(3,ROW()-59)-3+1):C60))/(MAX(INDEX($C$3:$C$72,MAX(3,ROW()-59)-3+1):C60)-MIN(INDEX($C$3:$C$72,MAX(3,ROW()-59)-3+1):C60)),12.5)</f>
        <v>0.619195046439629</v>
      </c>
      <c r="K60" s="19" t="n">
        <f aca="false">IFERROR(25*(MAX(INDEX($C$3:$C$72,MAX(3,ROW()-59)-3+1):C60)-C60)/(MAX(INDEX($C$3:$C$72,MAX(3,ROW()-59)-3+1):C60)-MIN(INDEX($C$3:$C$72,MAX(3,ROW()-59)-3+1):C60)),12.5)</f>
        <v>24.3808049535604</v>
      </c>
      <c r="L60" s="19" t="n">
        <f aca="false">IFERROR(25*(MAX(INDEX($B$3:$B$72,MAX(3,ROW()-59)-3+1):B60)-B60)/(MAX(INDEX($B$3:$B$72,MAX(3,ROW()-59)-3+1):B60)-MIN(INDEX($B$3:$B$72,MAX(3,ROW()-59)-3+1):B60)),12.5)</f>
        <v>17.8977272727273</v>
      </c>
      <c r="M60" s="19" t="n">
        <f aca="false">IFERROR(I60+K60,"")</f>
        <v>31.4830776808331</v>
      </c>
      <c r="N60" s="19" t="n">
        <f aca="false">IFERROR(L60+J60,"")</f>
        <v>18.5169223191669</v>
      </c>
      <c r="O60" s="18" t="n">
        <f aca="false">IF(AND(ISNUMBER(B60),B60&gt;=100),1,0)</f>
        <v>0</v>
      </c>
      <c r="P60" s="18" t="n">
        <f aca="false">IF(AND(ISNUMBER(B60),ISNUMBER(B59),B60&lt;B59),1,0)</f>
        <v>0</v>
      </c>
      <c r="Q60" s="18" t="n">
        <f aca="false">IF(AND(ISNUMBER(C60),C60&gt;=100),1,0)</f>
        <v>0</v>
      </c>
      <c r="R60" s="18" t="n">
        <f aca="false">IF(AND(ISNUMBER(H60),H60&lt;1.1),1,0)</f>
        <v>0</v>
      </c>
      <c r="S60" s="18" t="n">
        <f aca="false">O60+P60+Q60+R60</f>
        <v>0</v>
      </c>
      <c r="T60" s="21" t="str">
        <f aca="false">IF(S60=4,"◎売り確定",IF(S60=3,"○警戒","-"))</f>
        <v>-</v>
      </c>
      <c r="U60" s="18" t="str">
        <f aca="false">IF(AND(ISNUMBER(D59),ISNUMBER(D60),D59&gt;0,D60&lt;=0),"転換","")</f>
        <v/>
      </c>
      <c r="V60" s="18" t="str">
        <f aca="false">IF(AND(ISNUMBER(H60),H60&lt;1),"転換","")</f>
        <v/>
      </c>
      <c r="W60" s="18" t="n">
        <f aca="false">IF(T60="◎売り確定",3,IF(T60="○警戒",1,0))</f>
        <v>0</v>
      </c>
      <c r="X60" s="18" t="n">
        <f aca="false">IF(AND(ISNUMBER(N60),N60&gt;=40),3,IF(AND(ISNUMBER(N60),N60&gt;=32),1,0))</f>
        <v>0</v>
      </c>
    </row>
    <row r="61" customFormat="false" ht="15" hidden="false" customHeight="false" outlineLevel="0" collapsed="false">
      <c r="A61" s="16" t="n">
        <f aca="false">データ!A61</f>
        <v>46205</v>
      </c>
      <c r="B61" s="17" t="n">
        <f aca="false">IFERROR(IF(データ!B61="","",データ!B61),"")</f>
        <v>83</v>
      </c>
      <c r="C61" s="17" t="n">
        <f aca="false">IFERROR(IF(データ!C61="","",データ!C61),"")</f>
        <v>11</v>
      </c>
      <c r="D61" s="18" t="n">
        <f aca="false">IFERROR(B61-C61,"")</f>
        <v>72</v>
      </c>
      <c r="E61" s="19" t="n">
        <f aca="false">IFERROR((B61-C61)/(B61+C61)*100,"")</f>
        <v>76.5957446808511</v>
      </c>
      <c r="F61" s="20" t="n">
        <f aca="false">IFERROR((B61-B60)/B60,"")</f>
        <v>0.152777777777778</v>
      </c>
      <c r="G61" s="20" t="n">
        <f aca="false">IFERROR((C61-C60)/C60,"")</f>
        <v>-0.633333333333333</v>
      </c>
      <c r="H61" s="19" t="n">
        <f aca="false">IFERROR(B61/C61,"")</f>
        <v>7.54545454545455</v>
      </c>
      <c r="I61" s="19" t="n">
        <f aca="false">IFERROR(25*(B61-MIN(INDEX($B$3:$B$72,MAX(3,ROW()-59)-3+1):B61))/(MAX(INDEX($B$3:$B$72,MAX(3,ROW()-59)-3+1):B61)-MIN(INDEX($B$3:$B$72,MAX(3,ROW()-59)-3+1):B61)),12.5)</f>
        <v>8.66477272727273</v>
      </c>
      <c r="J61" s="19" t="n">
        <f aca="false">IFERROR(25*(C61-MIN(INDEX($C$3:$C$72,MAX(3,ROW()-59)-3+1):C61))/(MAX(INDEX($C$3:$C$72,MAX(3,ROW()-59)-3+1):C61)-MIN(INDEX($C$3:$C$72,MAX(3,ROW()-59)-3+1):C61)),12.5)</f>
        <v>0</v>
      </c>
      <c r="K61" s="19" t="n">
        <f aca="false">IFERROR(25*(MAX(INDEX($C$3:$C$72,MAX(3,ROW()-59)-3+1):C61)-C61)/(MAX(INDEX($C$3:$C$72,MAX(3,ROW()-59)-3+1):C61)-MIN(INDEX($C$3:$C$72,MAX(3,ROW()-59)-3+1):C61)),12.5)</f>
        <v>25</v>
      </c>
      <c r="L61" s="19" t="n">
        <f aca="false">IFERROR(25*(MAX(INDEX($B$3:$B$72,MAX(3,ROW()-59)-3+1):B61)-B61)/(MAX(INDEX($B$3:$B$72,MAX(3,ROW()-59)-3+1):B61)-MIN(INDEX($B$3:$B$72,MAX(3,ROW()-59)-3+1):B61)),12.5)</f>
        <v>16.3352272727273</v>
      </c>
      <c r="M61" s="19" t="n">
        <f aca="false">IFERROR(I61+K61,"")</f>
        <v>33.6647727272727</v>
      </c>
      <c r="N61" s="19" t="n">
        <f aca="false">IFERROR(L61+J61,"")</f>
        <v>16.3352272727273</v>
      </c>
      <c r="O61" s="18" t="n">
        <f aca="false">IF(AND(ISNUMBER(B61),B61&gt;=100),1,0)</f>
        <v>0</v>
      </c>
      <c r="P61" s="18" t="n">
        <f aca="false">IF(AND(ISNUMBER(B61),ISNUMBER(B60),B61&lt;B60),1,0)</f>
        <v>0</v>
      </c>
      <c r="Q61" s="18" t="n">
        <f aca="false">IF(AND(ISNUMBER(C61),C61&gt;=100),1,0)</f>
        <v>0</v>
      </c>
      <c r="R61" s="18" t="n">
        <f aca="false">IF(AND(ISNUMBER(H61),H61&lt;1.1),1,0)</f>
        <v>0</v>
      </c>
      <c r="S61" s="18" t="n">
        <f aca="false">O61+P61+Q61+R61</f>
        <v>0</v>
      </c>
      <c r="T61" s="21" t="str">
        <f aca="false">IF(S61=4,"◎売り確定",IF(S61=3,"○警戒","-"))</f>
        <v>-</v>
      </c>
      <c r="U61" s="18" t="str">
        <f aca="false">IF(AND(ISNUMBER(D60),ISNUMBER(D61),D60&gt;0,D61&lt;=0),"転換","")</f>
        <v/>
      </c>
      <c r="V61" s="18" t="str">
        <f aca="false">IF(AND(ISNUMBER(H61),H61&lt;1),"転換","")</f>
        <v/>
      </c>
      <c r="W61" s="18" t="n">
        <f aca="false">IF(T61="◎売り確定",3,IF(T61="○警戒",1,0))</f>
        <v>0</v>
      </c>
      <c r="X61" s="18" t="n">
        <f aca="false">IF(AND(ISNUMBER(N61),N61&gt;=40),3,IF(AND(ISNUMBER(N61),N61&gt;=32),1,0))</f>
        <v>0</v>
      </c>
    </row>
    <row r="62" customFormat="false" ht="15" hidden="false" customHeight="false" outlineLevel="0" collapsed="false">
      <c r="A62" s="16" t="n">
        <f aca="false">データ!A62</f>
        <v>46206</v>
      </c>
      <c r="B62" s="17" t="n">
        <f aca="false">IFERROR(IF(データ!B62="","",データ!B62),"")</f>
        <v>102</v>
      </c>
      <c r="C62" s="17" t="n">
        <f aca="false">IFERROR(IF(データ!C62="","",データ!C62),"")</f>
        <v>14</v>
      </c>
      <c r="D62" s="18" t="n">
        <f aca="false">IFERROR(B62-C62,"")</f>
        <v>88</v>
      </c>
      <c r="E62" s="19" t="n">
        <f aca="false">IFERROR((B62-C62)/(B62+C62)*100,"")</f>
        <v>75.8620689655172</v>
      </c>
      <c r="F62" s="20" t="n">
        <f aca="false">IFERROR((B62-B61)/B61,"")</f>
        <v>0.228915662650602</v>
      </c>
      <c r="G62" s="20" t="n">
        <f aca="false">IFERROR((C62-C61)/C61,"")</f>
        <v>0.272727272727273</v>
      </c>
      <c r="H62" s="19" t="n">
        <f aca="false">IFERROR(B62/C62,"")</f>
        <v>7.28571428571429</v>
      </c>
      <c r="I62" s="19" t="n">
        <f aca="false">IFERROR(25*(B62-MIN(INDEX($B$3:$B$72,MAX(3,ROW()-59)-3+1):B62))/(MAX(INDEX($B$3:$B$72,MAX(3,ROW()-59)-3+1):B62)-MIN(INDEX($B$3:$B$72,MAX(3,ROW()-59)-3+1):B62)),12.5)</f>
        <v>11.3636363636364</v>
      </c>
      <c r="J62" s="19" t="n">
        <f aca="false">IFERROR(25*(C62-MIN(INDEX($C$3:$C$72,MAX(3,ROW()-59)-3+1):C62))/(MAX(INDEX($C$3:$C$72,MAX(3,ROW()-59)-3+1):C62)-MIN(INDEX($C$3:$C$72,MAX(3,ROW()-59)-3+1):C62)),12.5)</f>
        <v>0.224550898203593</v>
      </c>
      <c r="K62" s="19" t="n">
        <f aca="false">IFERROR(25*(MAX(INDEX($C$3:$C$72,MAX(3,ROW()-59)-3+1):C62)-C62)/(MAX(INDEX($C$3:$C$72,MAX(3,ROW()-59)-3+1):C62)-MIN(INDEX($C$3:$C$72,MAX(3,ROW()-59)-3+1):C62)),12.5)</f>
        <v>24.7754491017964</v>
      </c>
      <c r="L62" s="19" t="n">
        <f aca="false">IFERROR(25*(MAX(INDEX($B$3:$B$72,MAX(3,ROW()-59)-3+1):B62)-B62)/(MAX(INDEX($B$3:$B$72,MAX(3,ROW()-59)-3+1):B62)-MIN(INDEX($B$3:$B$72,MAX(3,ROW()-59)-3+1):B62)),12.5)</f>
        <v>13.6363636363636</v>
      </c>
      <c r="M62" s="19" t="n">
        <f aca="false">IFERROR(I62+K62,"")</f>
        <v>36.1390854654328</v>
      </c>
      <c r="N62" s="19" t="n">
        <f aca="false">IFERROR(L62+J62,"")</f>
        <v>13.8609145345672</v>
      </c>
      <c r="O62" s="18" t="n">
        <f aca="false">IF(AND(ISNUMBER(B62),B62&gt;=100),1,0)</f>
        <v>1</v>
      </c>
      <c r="P62" s="18" t="n">
        <f aca="false">IF(AND(ISNUMBER(B62),ISNUMBER(B61),B62&lt;B61),1,0)</f>
        <v>0</v>
      </c>
      <c r="Q62" s="18" t="n">
        <f aca="false">IF(AND(ISNUMBER(C62),C62&gt;=100),1,0)</f>
        <v>0</v>
      </c>
      <c r="R62" s="18" t="n">
        <f aca="false">IF(AND(ISNUMBER(H62),H62&lt;1.1),1,0)</f>
        <v>0</v>
      </c>
      <c r="S62" s="18" t="n">
        <f aca="false">O62+P62+Q62+R62</f>
        <v>1</v>
      </c>
      <c r="T62" s="21" t="str">
        <f aca="false">IF(S62=4,"◎売り確定",IF(S62=3,"○警戒","-"))</f>
        <v>-</v>
      </c>
      <c r="U62" s="18" t="str">
        <f aca="false">IF(AND(ISNUMBER(D61),ISNUMBER(D62),D61&gt;0,D62&lt;=0),"転換","")</f>
        <v/>
      </c>
      <c r="V62" s="18" t="str">
        <f aca="false">IF(AND(ISNUMBER(H62),H62&lt;1),"転換","")</f>
        <v/>
      </c>
      <c r="W62" s="18" t="n">
        <f aca="false">IF(T62="◎売り確定",3,IF(T62="○警戒",1,0))</f>
        <v>0</v>
      </c>
      <c r="X62" s="18" t="n">
        <f aca="false">IF(AND(ISNUMBER(N62),N62&gt;=40),3,IF(AND(ISNUMBER(N62),N62&gt;=32),1,0))</f>
        <v>0</v>
      </c>
    </row>
    <row r="63" customFormat="false" ht="15" hidden="false" customHeight="false" outlineLevel="0" collapsed="false">
      <c r="A63" s="16" t="n">
        <f aca="false">データ!A63</f>
        <v>46209</v>
      </c>
      <c r="B63" s="17" t="n">
        <f aca="false">IFERROR(IF(データ!B63="","",データ!B63),"")</f>
        <v>118</v>
      </c>
      <c r="C63" s="17" t="n">
        <f aca="false">IFERROR(IF(データ!C63="","",データ!C63),"")</f>
        <v>5</v>
      </c>
      <c r="D63" s="18" t="n">
        <f aca="false">IFERROR(B63-C63,"")</f>
        <v>113</v>
      </c>
      <c r="E63" s="19" t="n">
        <f aca="false">IFERROR((B63-C63)/(B63+C63)*100,"")</f>
        <v>91.869918699187</v>
      </c>
      <c r="F63" s="20" t="n">
        <f aca="false">IFERROR((B63-B62)/B62,"")</f>
        <v>0.156862745098039</v>
      </c>
      <c r="G63" s="20" t="n">
        <f aca="false">IFERROR((C63-C62)/C62,"")</f>
        <v>-0.642857142857143</v>
      </c>
      <c r="H63" s="19" t="n">
        <f aca="false">IFERROR(B63/C63,"")</f>
        <v>23.6</v>
      </c>
      <c r="I63" s="19" t="n">
        <f aca="false">IFERROR(25*(B63-MIN(INDEX($B$3:$B$72,MAX(3,ROW()-59)-3+1):B63))/(MAX(INDEX($B$3:$B$72,MAX(3,ROW()-59)-3+1):B63)-MIN(INDEX($B$3:$B$72,MAX(3,ROW()-59)-3+1):B63)),12.5)</f>
        <v>13.6363636363636</v>
      </c>
      <c r="J63" s="19" t="n">
        <f aca="false">IFERROR(25*(C63-MIN(INDEX($C$3:$C$72,MAX(3,ROW()-59)-3+1):C63))/(MAX(INDEX($C$3:$C$72,MAX(3,ROW()-59)-3+1):C63)-MIN(INDEX($C$3:$C$72,MAX(3,ROW()-59)-3+1):C63)),12.5)</f>
        <v>0</v>
      </c>
      <c r="K63" s="19" t="n">
        <f aca="false">IFERROR(25*(MAX(INDEX($C$3:$C$72,MAX(3,ROW()-59)-3+1):C63)-C63)/(MAX(INDEX($C$3:$C$72,MAX(3,ROW()-59)-3+1):C63)-MIN(INDEX($C$3:$C$72,MAX(3,ROW()-59)-3+1):C63)),12.5)</f>
        <v>25</v>
      </c>
      <c r="L63" s="19" t="n">
        <f aca="false">IFERROR(25*(MAX(INDEX($B$3:$B$72,MAX(3,ROW()-59)-3+1):B63)-B63)/(MAX(INDEX($B$3:$B$72,MAX(3,ROW()-59)-3+1):B63)-MIN(INDEX($B$3:$B$72,MAX(3,ROW()-59)-3+1):B63)),12.5)</f>
        <v>11.3636363636364</v>
      </c>
      <c r="M63" s="19" t="n">
        <f aca="false">IFERROR(I63+K63,"")</f>
        <v>38.6363636363636</v>
      </c>
      <c r="N63" s="19" t="n">
        <f aca="false">IFERROR(L63+J63,"")</f>
        <v>11.3636363636364</v>
      </c>
      <c r="O63" s="18" t="n">
        <f aca="false">IF(AND(ISNUMBER(B63),B63&gt;=100),1,0)</f>
        <v>1</v>
      </c>
      <c r="P63" s="18" t="n">
        <f aca="false">IF(AND(ISNUMBER(B63),ISNUMBER(B62),B63&lt;B62),1,0)</f>
        <v>0</v>
      </c>
      <c r="Q63" s="18" t="n">
        <f aca="false">IF(AND(ISNUMBER(C63),C63&gt;=100),1,0)</f>
        <v>0</v>
      </c>
      <c r="R63" s="18" t="n">
        <f aca="false">IF(AND(ISNUMBER(H63),H63&lt;1.1),1,0)</f>
        <v>0</v>
      </c>
      <c r="S63" s="18" t="n">
        <f aca="false">O63+P63+Q63+R63</f>
        <v>1</v>
      </c>
      <c r="T63" s="21" t="str">
        <f aca="false">IF(S63=4,"◎売り確定",IF(S63=3,"○警戒","-"))</f>
        <v>-</v>
      </c>
      <c r="U63" s="18" t="str">
        <f aca="false">IF(AND(ISNUMBER(D62),ISNUMBER(D63),D62&gt;0,D63&lt;=0),"転換","")</f>
        <v/>
      </c>
      <c r="V63" s="18" t="str">
        <f aca="false">IF(AND(ISNUMBER(H63),H63&lt;1),"転換","")</f>
        <v/>
      </c>
      <c r="W63" s="18" t="n">
        <f aca="false">IF(T63="◎売り確定",3,IF(T63="○警戒",1,0))</f>
        <v>0</v>
      </c>
      <c r="X63" s="18" t="n">
        <f aca="false">IF(AND(ISNUMBER(N63),N63&gt;=40),3,IF(AND(ISNUMBER(N63),N63&gt;=32),1,0))</f>
        <v>0</v>
      </c>
    </row>
    <row r="64" customFormat="false" ht="15" hidden="false" customHeight="false" outlineLevel="0" collapsed="false">
      <c r="A64" s="16" t="n">
        <f aca="false">データ!A64</f>
        <v>46210</v>
      </c>
      <c r="B64" s="17" t="n">
        <f aca="false">IFERROR(IF(データ!B64="","",データ!B64),"")</f>
        <v>130</v>
      </c>
      <c r="C64" s="17" t="n">
        <f aca="false">IFERROR(IF(データ!C64="","",データ!C64),"")</f>
        <v>7</v>
      </c>
      <c r="D64" s="18" t="n">
        <f aca="false">IFERROR(B64-C64,"")</f>
        <v>123</v>
      </c>
      <c r="E64" s="19" t="n">
        <f aca="false">IFERROR((B64-C64)/(B64+C64)*100,"")</f>
        <v>89.7810218978102</v>
      </c>
      <c r="F64" s="20" t="n">
        <f aca="false">IFERROR((B64-B63)/B63,"")</f>
        <v>0.101694915254237</v>
      </c>
      <c r="G64" s="20" t="n">
        <f aca="false">IFERROR((C64-C63)/C63,"")</f>
        <v>0.4</v>
      </c>
      <c r="H64" s="19" t="n">
        <f aca="false">IFERROR(B64/C64,"")</f>
        <v>18.5714285714286</v>
      </c>
      <c r="I64" s="19" t="n">
        <f aca="false">IFERROR(25*(B64-MIN(INDEX($B$3:$B$72,MAX(3,ROW()-59)-3+1):B64))/(MAX(INDEX($B$3:$B$72,MAX(3,ROW()-59)-3+1):B64)-MIN(INDEX($B$3:$B$72,MAX(3,ROW()-59)-3+1):B64)),12.5)</f>
        <v>15.3409090909091</v>
      </c>
      <c r="J64" s="19" t="n">
        <f aca="false">IFERROR(25*(C64-MIN(INDEX($C$3:$C$72,MAX(3,ROW()-59)-3+1):C64))/(MAX(INDEX($C$3:$C$72,MAX(3,ROW()-59)-3+1):C64)-MIN(INDEX($C$3:$C$72,MAX(3,ROW()-59)-3+1):C64)),12.5)</f>
        <v>0.147058823529412</v>
      </c>
      <c r="K64" s="19" t="n">
        <f aca="false">IFERROR(25*(MAX(INDEX($C$3:$C$72,MAX(3,ROW()-59)-3+1):C64)-C64)/(MAX(INDEX($C$3:$C$72,MAX(3,ROW()-59)-3+1):C64)-MIN(INDEX($C$3:$C$72,MAX(3,ROW()-59)-3+1):C64)),12.5)</f>
        <v>24.8529411764706</v>
      </c>
      <c r="L64" s="19" t="n">
        <f aca="false">IFERROR(25*(MAX(INDEX($B$3:$B$72,MAX(3,ROW()-59)-3+1):B64)-B64)/(MAX(INDEX($B$3:$B$72,MAX(3,ROW()-59)-3+1):B64)-MIN(INDEX($B$3:$B$72,MAX(3,ROW()-59)-3+1):B64)),12.5)</f>
        <v>9.65909090909091</v>
      </c>
      <c r="M64" s="19" t="n">
        <f aca="false">IFERROR(I64+K64,"")</f>
        <v>40.1938502673797</v>
      </c>
      <c r="N64" s="19" t="n">
        <f aca="false">IFERROR(L64+J64,"")</f>
        <v>9.80614973262032</v>
      </c>
      <c r="O64" s="18" t="n">
        <f aca="false">IF(AND(ISNUMBER(B64),B64&gt;=100),1,0)</f>
        <v>1</v>
      </c>
      <c r="P64" s="18" t="n">
        <f aca="false">IF(AND(ISNUMBER(B64),ISNUMBER(B63),B64&lt;B63),1,0)</f>
        <v>0</v>
      </c>
      <c r="Q64" s="18" t="n">
        <f aca="false">IF(AND(ISNUMBER(C64),C64&gt;=100),1,0)</f>
        <v>0</v>
      </c>
      <c r="R64" s="18" t="n">
        <f aca="false">IF(AND(ISNUMBER(H64),H64&lt;1.1),1,0)</f>
        <v>0</v>
      </c>
      <c r="S64" s="18" t="n">
        <f aca="false">O64+P64+Q64+R64</f>
        <v>1</v>
      </c>
      <c r="T64" s="21" t="str">
        <f aca="false">IF(S64=4,"◎売り確定",IF(S64=3,"○警戒","-"))</f>
        <v>-</v>
      </c>
      <c r="U64" s="18" t="str">
        <f aca="false">IF(AND(ISNUMBER(D63),ISNUMBER(D64),D63&gt;0,D64&lt;=0),"転換","")</f>
        <v/>
      </c>
      <c r="V64" s="18" t="str">
        <f aca="false">IF(AND(ISNUMBER(H64),H64&lt;1),"転換","")</f>
        <v/>
      </c>
      <c r="W64" s="18" t="n">
        <f aca="false">IF(T64="◎売り確定",3,IF(T64="○警戒",1,0))</f>
        <v>0</v>
      </c>
      <c r="X64" s="18" t="n">
        <f aca="false">IF(AND(ISNUMBER(N64),N64&gt;=40),3,IF(AND(ISNUMBER(N64),N64&gt;=32),1,0))</f>
        <v>0</v>
      </c>
    </row>
    <row r="65" customFormat="false" ht="15" hidden="false" customHeight="false" outlineLevel="0" collapsed="false">
      <c r="A65" s="16" t="n">
        <f aca="false">データ!A65</f>
        <v>46211</v>
      </c>
      <c r="B65" s="17" t="n">
        <f aca="false">IFERROR(IF(データ!B65="","",データ!B65),"")</f>
        <v>87</v>
      </c>
      <c r="C65" s="17" t="n">
        <f aca="false">IFERROR(IF(データ!C65="","",データ!C65),"")</f>
        <v>8</v>
      </c>
      <c r="D65" s="18" t="n">
        <f aca="false">IFERROR(B65-C65,"")</f>
        <v>79</v>
      </c>
      <c r="E65" s="19" t="n">
        <f aca="false">IFERROR((B65-C65)/(B65+C65)*100,"")</f>
        <v>83.1578947368421</v>
      </c>
      <c r="F65" s="20" t="n">
        <f aca="false">IFERROR((B65-B64)/B64,"")</f>
        <v>-0.330769230769231</v>
      </c>
      <c r="G65" s="20" t="n">
        <f aca="false">IFERROR((C65-C64)/C64,"")</f>
        <v>0.142857142857143</v>
      </c>
      <c r="H65" s="19" t="n">
        <f aca="false">IFERROR(B65/C65,"")</f>
        <v>10.875</v>
      </c>
      <c r="I65" s="19" t="n">
        <f aca="false">IFERROR(25*(B65-MIN(INDEX($B$3:$B$72,MAX(3,ROW()-59)-3+1):B65))/(MAX(INDEX($B$3:$B$72,MAX(3,ROW()-59)-3+1):B65)-MIN(INDEX($B$3:$B$72,MAX(3,ROW()-59)-3+1):B65)),12.5)</f>
        <v>9.23295454545455</v>
      </c>
      <c r="J65" s="19" t="n">
        <f aca="false">IFERROR(25*(C65-MIN(INDEX($C$3:$C$72,MAX(3,ROW()-59)-3+1):C65))/(MAX(INDEX($C$3:$C$72,MAX(3,ROW()-59)-3+1):C65)-MIN(INDEX($C$3:$C$72,MAX(3,ROW()-59)-3+1):C65)),12.5)</f>
        <v>0.220588235294118</v>
      </c>
      <c r="K65" s="19" t="n">
        <f aca="false">IFERROR(25*(MAX(INDEX($C$3:$C$72,MAX(3,ROW()-59)-3+1):C65)-C65)/(MAX(INDEX($C$3:$C$72,MAX(3,ROW()-59)-3+1):C65)-MIN(INDEX($C$3:$C$72,MAX(3,ROW()-59)-3+1):C65)),12.5)</f>
        <v>24.7794117647059</v>
      </c>
      <c r="L65" s="19" t="n">
        <f aca="false">IFERROR(25*(MAX(INDEX($B$3:$B$72,MAX(3,ROW()-59)-3+1):B65)-B65)/(MAX(INDEX($B$3:$B$72,MAX(3,ROW()-59)-3+1):B65)-MIN(INDEX($B$3:$B$72,MAX(3,ROW()-59)-3+1):B65)),12.5)</f>
        <v>15.7670454545455</v>
      </c>
      <c r="M65" s="19" t="n">
        <f aca="false">IFERROR(I65+K65,"")</f>
        <v>34.0123663101604</v>
      </c>
      <c r="N65" s="19" t="n">
        <f aca="false">IFERROR(L65+J65,"")</f>
        <v>15.9876336898396</v>
      </c>
      <c r="O65" s="18" t="n">
        <f aca="false">IF(AND(ISNUMBER(B65),B65&gt;=100),1,0)</f>
        <v>0</v>
      </c>
      <c r="P65" s="18" t="n">
        <f aca="false">IF(AND(ISNUMBER(B65),ISNUMBER(B64),B65&lt;B64),1,0)</f>
        <v>1</v>
      </c>
      <c r="Q65" s="18" t="n">
        <f aca="false">IF(AND(ISNUMBER(C65),C65&gt;=100),1,0)</f>
        <v>0</v>
      </c>
      <c r="R65" s="18" t="n">
        <f aca="false">IF(AND(ISNUMBER(H65),H65&lt;1.1),1,0)</f>
        <v>0</v>
      </c>
      <c r="S65" s="18" t="n">
        <f aca="false">O65+P65+Q65+R65</f>
        <v>1</v>
      </c>
      <c r="T65" s="21" t="str">
        <f aca="false">IF(S65=4,"◎売り確定",IF(S65=3,"○警戒","-"))</f>
        <v>-</v>
      </c>
      <c r="U65" s="18" t="str">
        <f aca="false">IF(AND(ISNUMBER(D64),ISNUMBER(D65),D64&gt;0,D65&lt;=0),"転換","")</f>
        <v/>
      </c>
      <c r="V65" s="18" t="str">
        <f aca="false">IF(AND(ISNUMBER(H65),H65&lt;1),"転換","")</f>
        <v/>
      </c>
      <c r="W65" s="18" t="n">
        <f aca="false">IF(T65="◎売り確定",3,IF(T65="○警戒",1,0))</f>
        <v>0</v>
      </c>
      <c r="X65" s="18" t="n">
        <f aca="false">IF(AND(ISNUMBER(N65),N65&gt;=40),3,IF(AND(ISNUMBER(N65),N65&gt;=32),1,0))</f>
        <v>0</v>
      </c>
    </row>
    <row r="66" customFormat="false" ht="15" hidden="false" customHeight="false" outlineLevel="0" collapsed="false">
      <c r="A66" s="16" t="n">
        <f aca="false">データ!A66</f>
        <v>46212</v>
      </c>
      <c r="B66" s="17" t="n">
        <f aca="false">IFERROR(IF(データ!B66="","",データ!B66),"")</f>
        <v>43</v>
      </c>
      <c r="C66" s="17" t="n">
        <f aca="false">IFERROR(IF(データ!C66="","",データ!C66),"")</f>
        <v>8</v>
      </c>
      <c r="D66" s="18" t="n">
        <f aca="false">IFERROR(B66-C66,"")</f>
        <v>35</v>
      </c>
      <c r="E66" s="19" t="n">
        <f aca="false">IFERROR((B66-C66)/(B66+C66)*100,"")</f>
        <v>68.6274509803922</v>
      </c>
      <c r="F66" s="20" t="n">
        <f aca="false">IFERROR((B66-B65)/B65,"")</f>
        <v>-0.505747126436782</v>
      </c>
      <c r="G66" s="20" t="n">
        <f aca="false">IFERROR((C66-C65)/C65,"")</f>
        <v>0</v>
      </c>
      <c r="H66" s="19" t="n">
        <f aca="false">IFERROR(B66/C66,"")</f>
        <v>5.375</v>
      </c>
      <c r="I66" s="19" t="n">
        <f aca="false">IFERROR(25*(B66-MIN(INDEX($B$3:$B$72,MAX(3,ROW()-59)-3+1):B66))/(MAX(INDEX($B$3:$B$72,MAX(3,ROW()-59)-3+1):B66)-MIN(INDEX($B$3:$B$72,MAX(3,ROW()-59)-3+1):B66)),12.5)</f>
        <v>2.98295454545455</v>
      </c>
      <c r="J66" s="19" t="n">
        <f aca="false">IFERROR(25*(C66-MIN(INDEX($C$3:$C$72,MAX(3,ROW()-59)-3+1):C66))/(MAX(INDEX($C$3:$C$72,MAX(3,ROW()-59)-3+1):C66)-MIN(INDEX($C$3:$C$72,MAX(3,ROW()-59)-3+1):C66)),12.5)</f>
        <v>0.220588235294118</v>
      </c>
      <c r="K66" s="19" t="n">
        <f aca="false">IFERROR(25*(MAX(INDEX($C$3:$C$72,MAX(3,ROW()-59)-3+1):C66)-C66)/(MAX(INDEX($C$3:$C$72,MAX(3,ROW()-59)-3+1):C66)-MIN(INDEX($C$3:$C$72,MAX(3,ROW()-59)-3+1):C66)),12.5)</f>
        <v>24.7794117647059</v>
      </c>
      <c r="L66" s="19" t="n">
        <f aca="false">IFERROR(25*(MAX(INDEX($B$3:$B$72,MAX(3,ROW()-59)-3+1):B66)-B66)/(MAX(INDEX($B$3:$B$72,MAX(3,ROW()-59)-3+1):B66)-MIN(INDEX($B$3:$B$72,MAX(3,ROW()-59)-3+1):B66)),12.5)</f>
        <v>22.0170454545455</v>
      </c>
      <c r="M66" s="19" t="n">
        <f aca="false">IFERROR(I66+K66,"")</f>
        <v>27.7623663101604</v>
      </c>
      <c r="N66" s="19" t="n">
        <f aca="false">IFERROR(L66+J66,"")</f>
        <v>22.2376336898396</v>
      </c>
      <c r="O66" s="18" t="n">
        <f aca="false">IF(AND(ISNUMBER(B66),B66&gt;=100),1,0)</f>
        <v>0</v>
      </c>
      <c r="P66" s="18" t="n">
        <f aca="false">IF(AND(ISNUMBER(B66),ISNUMBER(B65),B66&lt;B65),1,0)</f>
        <v>1</v>
      </c>
      <c r="Q66" s="18" t="n">
        <f aca="false">IF(AND(ISNUMBER(C66),C66&gt;=100),1,0)</f>
        <v>0</v>
      </c>
      <c r="R66" s="18" t="n">
        <f aca="false">IF(AND(ISNUMBER(H66),H66&lt;1.1),1,0)</f>
        <v>0</v>
      </c>
      <c r="S66" s="18" t="n">
        <f aca="false">O66+P66+Q66+R66</f>
        <v>1</v>
      </c>
      <c r="T66" s="21" t="str">
        <f aca="false">IF(S66=4,"◎売り確定",IF(S66=3,"○警戒","-"))</f>
        <v>-</v>
      </c>
      <c r="U66" s="18" t="str">
        <f aca="false">IF(AND(ISNUMBER(D65),ISNUMBER(D66),D65&gt;0,D66&lt;=0),"転換","")</f>
        <v/>
      </c>
      <c r="V66" s="18" t="str">
        <f aca="false">IF(AND(ISNUMBER(H66),H66&lt;1),"転換","")</f>
        <v/>
      </c>
      <c r="W66" s="18" t="n">
        <f aca="false">IF(T66="◎売り確定",3,IF(T66="○警戒",1,0))</f>
        <v>0</v>
      </c>
      <c r="X66" s="18" t="n">
        <f aca="false">IF(AND(ISNUMBER(N66),N66&gt;=40),3,IF(AND(ISNUMBER(N66),N66&gt;=32),1,0))</f>
        <v>0</v>
      </c>
    </row>
    <row r="67" customFormat="false" ht="15" hidden="false" customHeight="false" outlineLevel="0" collapsed="false">
      <c r="A67" s="16" t="n">
        <f aca="false">データ!A67</f>
        <v>46213</v>
      </c>
      <c r="B67" s="17" t="n">
        <f aca="false">IFERROR(IF(データ!B67="","",データ!B67),"")</f>
        <v>60</v>
      </c>
      <c r="C67" s="17" t="n">
        <f aca="false">IFERROR(IF(データ!C67="","",データ!C67),"")</f>
        <v>4</v>
      </c>
      <c r="D67" s="18" t="n">
        <f aca="false">IFERROR(B67-C67,"")</f>
        <v>56</v>
      </c>
      <c r="E67" s="19" t="n">
        <f aca="false">IFERROR((B67-C67)/(B67+C67)*100,"")</f>
        <v>87.5</v>
      </c>
      <c r="F67" s="20" t="n">
        <f aca="false">IFERROR((B67-B66)/B66,"")</f>
        <v>0.395348837209302</v>
      </c>
      <c r="G67" s="20" t="n">
        <f aca="false">IFERROR((C67-C66)/C66,"")</f>
        <v>-0.5</v>
      </c>
      <c r="H67" s="19" t="n">
        <f aca="false">IFERROR(B67/C67,"")</f>
        <v>15</v>
      </c>
      <c r="I67" s="19" t="n">
        <f aca="false">IFERROR(25*(B67-MIN(INDEX($B$3:$B$72,MAX(3,ROW()-59)-3+1):B67))/(MAX(INDEX($B$3:$B$72,MAX(3,ROW()-59)-3+1):B67)-MIN(INDEX($B$3:$B$72,MAX(3,ROW()-59)-3+1):B67)),12.5)</f>
        <v>5.39772727272727</v>
      </c>
      <c r="J67" s="19" t="n">
        <f aca="false">IFERROR(25*(C67-MIN(INDEX($C$3:$C$72,MAX(3,ROW()-59)-3+1):C67))/(MAX(INDEX($C$3:$C$72,MAX(3,ROW()-59)-3+1):C67)-MIN(INDEX($C$3:$C$72,MAX(3,ROW()-59)-3+1):C67)),12.5)</f>
        <v>0</v>
      </c>
      <c r="K67" s="19" t="n">
        <f aca="false">IFERROR(25*(MAX(INDEX($C$3:$C$72,MAX(3,ROW()-59)-3+1):C67)-C67)/(MAX(INDEX($C$3:$C$72,MAX(3,ROW()-59)-3+1):C67)-MIN(INDEX($C$3:$C$72,MAX(3,ROW()-59)-3+1):C67)),12.5)</f>
        <v>25</v>
      </c>
      <c r="L67" s="19" t="n">
        <f aca="false">IFERROR(25*(MAX(INDEX($B$3:$B$72,MAX(3,ROW()-59)-3+1):B67)-B67)/(MAX(INDEX($B$3:$B$72,MAX(3,ROW()-59)-3+1):B67)-MIN(INDEX($B$3:$B$72,MAX(3,ROW()-59)-3+1):B67)),12.5)</f>
        <v>19.6022727272727</v>
      </c>
      <c r="M67" s="19" t="n">
        <f aca="false">IFERROR(I67+K67,"")</f>
        <v>30.3977272727273</v>
      </c>
      <c r="N67" s="19" t="n">
        <f aca="false">IFERROR(L67+J67,"")</f>
        <v>19.6022727272727</v>
      </c>
      <c r="O67" s="18" t="n">
        <f aca="false">IF(AND(ISNUMBER(B67),B67&gt;=100),1,0)</f>
        <v>0</v>
      </c>
      <c r="P67" s="18" t="n">
        <f aca="false">IF(AND(ISNUMBER(B67),ISNUMBER(B66),B67&lt;B66),1,0)</f>
        <v>0</v>
      </c>
      <c r="Q67" s="18" t="n">
        <f aca="false">IF(AND(ISNUMBER(C67),C67&gt;=100),1,0)</f>
        <v>0</v>
      </c>
      <c r="R67" s="18" t="n">
        <f aca="false">IF(AND(ISNUMBER(H67),H67&lt;1.1),1,0)</f>
        <v>0</v>
      </c>
      <c r="S67" s="18" t="n">
        <f aca="false">O67+P67+Q67+R67</f>
        <v>0</v>
      </c>
      <c r="T67" s="21" t="str">
        <f aca="false">IF(S67=4,"◎売り確定",IF(S67=3,"○警戒","-"))</f>
        <v>-</v>
      </c>
      <c r="U67" s="18" t="str">
        <f aca="false">IF(AND(ISNUMBER(D66),ISNUMBER(D67),D66&gt;0,D67&lt;=0),"転換","")</f>
        <v/>
      </c>
      <c r="V67" s="18" t="str">
        <f aca="false">IF(AND(ISNUMBER(H67),H67&lt;1),"転換","")</f>
        <v/>
      </c>
      <c r="W67" s="18" t="n">
        <f aca="false">IF(T67="◎売り確定",3,IF(T67="○警戒",1,0))</f>
        <v>0</v>
      </c>
      <c r="X67" s="18" t="n">
        <f aca="false">IF(AND(ISNUMBER(N67),N67&gt;=40),3,IF(AND(ISNUMBER(N67),N67&gt;=32),1,0))</f>
        <v>0</v>
      </c>
    </row>
    <row r="68" customFormat="false" ht="15" hidden="false" customHeight="false" outlineLevel="0" collapsed="false">
      <c r="A68" s="16" t="n">
        <f aca="false">データ!A68</f>
        <v>46216</v>
      </c>
      <c r="B68" s="17" t="n">
        <f aca="false">IFERROR(IF(データ!B68="","",データ!B68),"")</f>
        <v>67</v>
      </c>
      <c r="C68" s="17" t="n">
        <f aca="false">IFERROR(IF(データ!C68="","",データ!C68),"")</f>
        <v>6</v>
      </c>
      <c r="D68" s="18" t="n">
        <f aca="false">IFERROR(B68-C68,"")</f>
        <v>61</v>
      </c>
      <c r="E68" s="19" t="n">
        <f aca="false">IFERROR((B68-C68)/(B68+C68)*100,"")</f>
        <v>83.5616438356164</v>
      </c>
      <c r="F68" s="20" t="n">
        <f aca="false">IFERROR((B68-B67)/B67,"")</f>
        <v>0.116666666666667</v>
      </c>
      <c r="G68" s="20" t="n">
        <f aca="false">IFERROR((C68-C67)/C67,"")</f>
        <v>0.5</v>
      </c>
      <c r="H68" s="19" t="n">
        <f aca="false">IFERROR(B68/C68,"")</f>
        <v>11.1666666666667</v>
      </c>
      <c r="I68" s="19" t="n">
        <f aca="false">IFERROR(25*(B68-MIN(INDEX($B$3:$B$72,MAX(3,ROW()-59)-3+1):B68))/(MAX(INDEX($B$3:$B$72,MAX(3,ROW()-59)-3+1):B68)-MIN(INDEX($B$3:$B$72,MAX(3,ROW()-59)-3+1):B68)),12.5)</f>
        <v>6.39204545454545</v>
      </c>
      <c r="J68" s="19" t="n">
        <f aca="false">IFERROR(25*(C68-MIN(INDEX($C$3:$C$72,MAX(3,ROW()-59)-3+1):C68))/(MAX(INDEX($C$3:$C$72,MAX(3,ROW()-59)-3+1):C68)-MIN(INDEX($C$3:$C$72,MAX(3,ROW()-59)-3+1):C68)),12.5)</f>
        <v>0.146627565982405</v>
      </c>
      <c r="K68" s="19" t="n">
        <f aca="false">IFERROR(25*(MAX(INDEX($C$3:$C$72,MAX(3,ROW()-59)-3+1):C68)-C68)/(MAX(INDEX($C$3:$C$72,MAX(3,ROW()-59)-3+1):C68)-MIN(INDEX($C$3:$C$72,MAX(3,ROW()-59)-3+1):C68)),12.5)</f>
        <v>24.8533724340176</v>
      </c>
      <c r="L68" s="19" t="n">
        <f aca="false">IFERROR(25*(MAX(INDEX($B$3:$B$72,MAX(3,ROW()-59)-3+1):B68)-B68)/(MAX(INDEX($B$3:$B$72,MAX(3,ROW()-59)-3+1):B68)-MIN(INDEX($B$3:$B$72,MAX(3,ROW()-59)-3+1):B68)),12.5)</f>
        <v>18.6079545454545</v>
      </c>
      <c r="M68" s="19" t="n">
        <f aca="false">IFERROR(I68+K68,"")</f>
        <v>31.245417888563</v>
      </c>
      <c r="N68" s="19" t="n">
        <f aca="false">IFERROR(L68+J68,"")</f>
        <v>18.754582111437</v>
      </c>
      <c r="O68" s="18" t="n">
        <f aca="false">IF(AND(ISNUMBER(B68),B68&gt;=100),1,0)</f>
        <v>0</v>
      </c>
      <c r="P68" s="18" t="n">
        <f aca="false">IF(AND(ISNUMBER(B68),ISNUMBER(B67),B68&lt;B67),1,0)</f>
        <v>0</v>
      </c>
      <c r="Q68" s="18" t="n">
        <f aca="false">IF(AND(ISNUMBER(C68),C68&gt;=100),1,0)</f>
        <v>0</v>
      </c>
      <c r="R68" s="18" t="n">
        <f aca="false">IF(AND(ISNUMBER(H68),H68&lt;1.1),1,0)</f>
        <v>0</v>
      </c>
      <c r="S68" s="18" t="n">
        <f aca="false">O68+P68+Q68+R68</f>
        <v>0</v>
      </c>
      <c r="T68" s="21" t="str">
        <f aca="false">IF(S68=4,"◎売り確定",IF(S68=3,"○警戒","-"))</f>
        <v>-</v>
      </c>
      <c r="U68" s="18" t="str">
        <f aca="false">IF(AND(ISNUMBER(D67),ISNUMBER(D68),D67&gt;0,D68&lt;=0),"転換","")</f>
        <v/>
      </c>
      <c r="V68" s="18" t="str">
        <f aca="false">IF(AND(ISNUMBER(H68),H68&lt;1),"転換","")</f>
        <v/>
      </c>
      <c r="W68" s="18" t="n">
        <f aca="false">IF(T68="◎売り確定",3,IF(T68="○警戒",1,0))</f>
        <v>0</v>
      </c>
      <c r="X68" s="18" t="n">
        <f aca="false">IF(AND(ISNUMBER(N68),N68&gt;=40),3,IF(AND(ISNUMBER(N68),N68&gt;=32),1,0))</f>
        <v>0</v>
      </c>
    </row>
    <row r="69" customFormat="false" ht="15" hidden="false" customHeight="false" outlineLevel="0" collapsed="false">
      <c r="A69" s="16" t="n">
        <f aca="false">データ!A69</f>
        <v>46217</v>
      </c>
      <c r="B69" s="17" t="n">
        <f aca="false">IFERROR(IF(データ!B69="","",データ!B69),"")</f>
        <v>58</v>
      </c>
      <c r="C69" s="17" t="n">
        <f aca="false">IFERROR(IF(データ!C69="","",データ!C69),"")</f>
        <v>6</v>
      </c>
      <c r="D69" s="18" t="n">
        <f aca="false">IFERROR(B69-C69,"")</f>
        <v>52</v>
      </c>
      <c r="E69" s="19" t="n">
        <f aca="false">IFERROR((B69-C69)/(B69+C69)*100,"")</f>
        <v>81.25</v>
      </c>
      <c r="F69" s="20" t="n">
        <f aca="false">IFERROR((B69-B68)/B68,"")</f>
        <v>-0.134328358208955</v>
      </c>
      <c r="G69" s="20" t="n">
        <f aca="false">IFERROR((C69-C68)/C68,"")</f>
        <v>0</v>
      </c>
      <c r="H69" s="19" t="n">
        <f aca="false">IFERROR(B69/C69,"")</f>
        <v>9.66666666666667</v>
      </c>
      <c r="I69" s="19" t="n">
        <f aca="false">IFERROR(25*(B69-MIN(INDEX($B$3:$B$72,MAX(3,ROW()-59)-3+1):B69))/(MAX(INDEX($B$3:$B$72,MAX(3,ROW()-59)-3+1):B69)-MIN(INDEX($B$3:$B$72,MAX(3,ROW()-59)-3+1):B69)),12.5)</f>
        <v>5.11363636363636</v>
      </c>
      <c r="J69" s="19" t="n">
        <f aca="false">IFERROR(25*(C69-MIN(INDEX($C$3:$C$72,MAX(3,ROW()-59)-3+1):C69))/(MAX(INDEX($C$3:$C$72,MAX(3,ROW()-59)-3+1):C69)-MIN(INDEX($C$3:$C$72,MAX(3,ROW()-59)-3+1):C69)),12.5)</f>
        <v>0.146627565982405</v>
      </c>
      <c r="K69" s="19" t="n">
        <f aca="false">IFERROR(25*(MAX(INDEX($C$3:$C$72,MAX(3,ROW()-59)-3+1):C69)-C69)/(MAX(INDEX($C$3:$C$72,MAX(3,ROW()-59)-3+1):C69)-MIN(INDEX($C$3:$C$72,MAX(3,ROW()-59)-3+1):C69)),12.5)</f>
        <v>24.8533724340176</v>
      </c>
      <c r="L69" s="19" t="n">
        <f aca="false">IFERROR(25*(MAX(INDEX($B$3:$B$72,MAX(3,ROW()-59)-3+1):B69)-B69)/(MAX(INDEX($B$3:$B$72,MAX(3,ROW()-59)-3+1):B69)-MIN(INDEX($B$3:$B$72,MAX(3,ROW()-59)-3+1):B69)),12.5)</f>
        <v>19.8863636363636</v>
      </c>
      <c r="M69" s="19" t="n">
        <f aca="false">IFERROR(I69+K69,"")</f>
        <v>29.967008797654</v>
      </c>
      <c r="N69" s="19" t="n">
        <f aca="false">IFERROR(L69+J69,"")</f>
        <v>20.032991202346</v>
      </c>
      <c r="O69" s="18" t="n">
        <f aca="false">IF(AND(ISNUMBER(B69),B69&gt;=100),1,0)</f>
        <v>0</v>
      </c>
      <c r="P69" s="18" t="n">
        <f aca="false">IF(AND(ISNUMBER(B69),ISNUMBER(B68),B69&lt;B68),1,0)</f>
        <v>1</v>
      </c>
      <c r="Q69" s="18" t="n">
        <f aca="false">IF(AND(ISNUMBER(C69),C69&gt;=100),1,0)</f>
        <v>0</v>
      </c>
      <c r="R69" s="18" t="n">
        <f aca="false">IF(AND(ISNUMBER(H69),H69&lt;1.1),1,0)</f>
        <v>0</v>
      </c>
      <c r="S69" s="18" t="n">
        <f aca="false">O69+P69+Q69+R69</f>
        <v>1</v>
      </c>
      <c r="T69" s="21" t="str">
        <f aca="false">IF(S69=4,"◎売り確定",IF(S69=3,"○警戒","-"))</f>
        <v>-</v>
      </c>
      <c r="U69" s="18" t="str">
        <f aca="false">IF(AND(ISNUMBER(D68),ISNUMBER(D69),D68&gt;0,D69&lt;=0),"転換","")</f>
        <v/>
      </c>
      <c r="V69" s="18" t="str">
        <f aca="false">IF(AND(ISNUMBER(H69),H69&lt;1),"転換","")</f>
        <v/>
      </c>
      <c r="W69" s="18" t="n">
        <f aca="false">IF(T69="◎売り確定",3,IF(T69="○警戒",1,0))</f>
        <v>0</v>
      </c>
      <c r="X69" s="18" t="n">
        <f aca="false">IF(AND(ISNUMBER(N69),N69&gt;=40),3,IF(AND(ISNUMBER(N69),N69&gt;=32),1,0))</f>
        <v>0</v>
      </c>
    </row>
    <row r="70" customFormat="false" ht="15" hidden="false" customHeight="false" outlineLevel="0" collapsed="false">
      <c r="A70" s="16" t="n">
        <f aca="false">データ!A70</f>
        <v>46218</v>
      </c>
      <c r="B70" s="17" t="n">
        <f aca="false">IFERROR(IF(データ!B70="","",データ!B70),"")</f>
        <v>93</v>
      </c>
      <c r="C70" s="17" t="n">
        <f aca="false">IFERROR(IF(データ!C70="","",データ!C70),"")</f>
        <v>6</v>
      </c>
      <c r="D70" s="18" t="n">
        <f aca="false">IFERROR(B70-C70,"")</f>
        <v>87</v>
      </c>
      <c r="E70" s="19" t="n">
        <f aca="false">IFERROR((B70-C70)/(B70+C70)*100,"")</f>
        <v>87.8787878787879</v>
      </c>
      <c r="F70" s="20" t="n">
        <f aca="false">IFERROR((B70-B69)/B69,"")</f>
        <v>0.603448275862069</v>
      </c>
      <c r="G70" s="20" t="n">
        <f aca="false">IFERROR((C70-C69)/C69,"")</f>
        <v>0</v>
      </c>
      <c r="H70" s="19" t="n">
        <f aca="false">IFERROR(B70/C70,"")</f>
        <v>15.5</v>
      </c>
      <c r="I70" s="19" t="n">
        <f aca="false">IFERROR(25*(B70-MIN(INDEX($B$3:$B$72,MAX(3,ROW()-59)-3+1):B70))/(MAX(INDEX($B$3:$B$72,MAX(3,ROW()-59)-3+1):B70)-MIN(INDEX($B$3:$B$72,MAX(3,ROW()-59)-3+1):B70)),12.5)</f>
        <v>10.0852272727273</v>
      </c>
      <c r="J70" s="19" t="n">
        <f aca="false">IFERROR(25*(C70-MIN(INDEX($C$3:$C$72,MAX(3,ROW()-59)-3+1):C70))/(MAX(INDEX($C$3:$C$72,MAX(3,ROW()-59)-3+1):C70)-MIN(INDEX($C$3:$C$72,MAX(3,ROW()-59)-3+1):C70)),12.5)</f>
        <v>0.146627565982405</v>
      </c>
      <c r="K70" s="19" t="n">
        <f aca="false">IFERROR(25*(MAX(INDEX($C$3:$C$72,MAX(3,ROW()-59)-3+1):C70)-C70)/(MAX(INDEX($C$3:$C$72,MAX(3,ROW()-59)-3+1):C70)-MIN(INDEX($C$3:$C$72,MAX(3,ROW()-59)-3+1):C70)),12.5)</f>
        <v>24.8533724340176</v>
      </c>
      <c r="L70" s="19" t="n">
        <f aca="false">IFERROR(25*(MAX(INDEX($B$3:$B$72,MAX(3,ROW()-59)-3+1):B70)-B70)/(MAX(INDEX($B$3:$B$72,MAX(3,ROW()-59)-3+1):B70)-MIN(INDEX($B$3:$B$72,MAX(3,ROW()-59)-3+1):B70)),12.5)</f>
        <v>14.9147727272727</v>
      </c>
      <c r="M70" s="19" t="n">
        <f aca="false">IFERROR(I70+K70,"")</f>
        <v>34.9385997067449</v>
      </c>
      <c r="N70" s="19" t="n">
        <f aca="false">IFERROR(L70+J70,"")</f>
        <v>15.0614002932551</v>
      </c>
      <c r="O70" s="18" t="n">
        <f aca="false">IF(AND(ISNUMBER(B70),B70&gt;=100),1,0)</f>
        <v>0</v>
      </c>
      <c r="P70" s="18" t="n">
        <f aca="false">IF(AND(ISNUMBER(B70),ISNUMBER(B69),B70&lt;B69),1,0)</f>
        <v>0</v>
      </c>
      <c r="Q70" s="18" t="n">
        <f aca="false">IF(AND(ISNUMBER(C70),C70&gt;=100),1,0)</f>
        <v>0</v>
      </c>
      <c r="R70" s="18" t="n">
        <f aca="false">IF(AND(ISNUMBER(H70),H70&lt;1.1),1,0)</f>
        <v>0</v>
      </c>
      <c r="S70" s="18" t="n">
        <f aca="false">O70+P70+Q70+R70</f>
        <v>0</v>
      </c>
      <c r="T70" s="21" t="str">
        <f aca="false">IF(S70=4,"◎売り確定",IF(S70=3,"○警戒","-"))</f>
        <v>-</v>
      </c>
      <c r="U70" s="18" t="str">
        <f aca="false">IF(AND(ISNUMBER(D69),ISNUMBER(D70),D69&gt;0,D70&lt;=0),"転換","")</f>
        <v/>
      </c>
      <c r="V70" s="18" t="str">
        <f aca="false">IF(AND(ISNUMBER(H70),H70&lt;1),"転換","")</f>
        <v/>
      </c>
      <c r="W70" s="18" t="n">
        <f aca="false">IF(T70="◎売り確定",3,IF(T70="○警戒",1,0))</f>
        <v>0</v>
      </c>
      <c r="X70" s="18" t="n">
        <f aca="false">IF(AND(ISNUMBER(N70),N70&gt;=40),3,IF(AND(ISNUMBER(N70),N70&gt;=32),1,0))</f>
        <v>0</v>
      </c>
    </row>
    <row r="71" customFormat="false" ht="15" hidden="false" customHeight="false" outlineLevel="0" collapsed="false">
      <c r="A71" s="16" t="n">
        <f aca="false">データ!A71</f>
        <v>46219</v>
      </c>
      <c r="B71" s="17" t="n">
        <f aca="false">IFERROR(IF(データ!B71="","",データ!B71),"")</f>
        <v>77</v>
      </c>
      <c r="C71" s="17" t="n">
        <f aca="false">IFERROR(IF(データ!C71="","",データ!C71),"")</f>
        <v>10</v>
      </c>
      <c r="D71" s="18" t="n">
        <f aca="false">IFERROR(B71-C71,"")</f>
        <v>67</v>
      </c>
      <c r="E71" s="19" t="n">
        <f aca="false">IFERROR((B71-C71)/(B71+C71)*100,"")</f>
        <v>77.0114942528736</v>
      </c>
      <c r="F71" s="20" t="n">
        <f aca="false">IFERROR((B71-B70)/B70,"")</f>
        <v>-0.172043010752688</v>
      </c>
      <c r="G71" s="20" t="n">
        <f aca="false">IFERROR((C71-C70)/C70,"")</f>
        <v>0.666666666666667</v>
      </c>
      <c r="H71" s="19" t="n">
        <f aca="false">IFERROR(B71/C71,"")</f>
        <v>7.7</v>
      </c>
      <c r="I71" s="19" t="n">
        <f aca="false">IFERROR(25*(B71-MIN(INDEX($B$3:$B$72,MAX(3,ROW()-59)-3+1):B71))/(MAX(INDEX($B$3:$B$72,MAX(3,ROW()-59)-3+1):B71)-MIN(INDEX($B$3:$B$72,MAX(3,ROW()-59)-3+1):B71)),12.5)</f>
        <v>7.8125</v>
      </c>
      <c r="J71" s="19" t="n">
        <f aca="false">IFERROR(25*(C71-MIN(INDEX($C$3:$C$72,MAX(3,ROW()-59)-3+1):C71))/(MAX(INDEX($C$3:$C$72,MAX(3,ROW()-59)-3+1):C71)-MIN(INDEX($C$3:$C$72,MAX(3,ROW()-59)-3+1):C71)),12.5)</f>
        <v>0.439882697947214</v>
      </c>
      <c r="K71" s="19" t="n">
        <f aca="false">IFERROR(25*(MAX(INDEX($C$3:$C$72,MAX(3,ROW()-59)-3+1):C71)-C71)/(MAX(INDEX($C$3:$C$72,MAX(3,ROW()-59)-3+1):C71)-MIN(INDEX($C$3:$C$72,MAX(3,ROW()-59)-3+1):C71)),12.5)</f>
        <v>24.5601173020528</v>
      </c>
      <c r="L71" s="19" t="n">
        <f aca="false">IFERROR(25*(MAX(INDEX($B$3:$B$72,MAX(3,ROW()-59)-3+1):B71)-B71)/(MAX(INDEX($B$3:$B$72,MAX(3,ROW()-59)-3+1):B71)-MIN(INDEX($B$3:$B$72,MAX(3,ROW()-59)-3+1):B71)),12.5)</f>
        <v>17.1875</v>
      </c>
      <c r="M71" s="19" t="n">
        <f aca="false">IFERROR(I71+K71,"")</f>
        <v>32.3726173020528</v>
      </c>
      <c r="N71" s="19" t="n">
        <f aca="false">IFERROR(L71+J71,"")</f>
        <v>17.6273826979472</v>
      </c>
      <c r="O71" s="18" t="n">
        <f aca="false">IF(AND(ISNUMBER(B71),B71&gt;=100),1,0)</f>
        <v>0</v>
      </c>
      <c r="P71" s="18" t="n">
        <f aca="false">IF(AND(ISNUMBER(B71),ISNUMBER(B70),B71&lt;B70),1,0)</f>
        <v>1</v>
      </c>
      <c r="Q71" s="18" t="n">
        <f aca="false">IF(AND(ISNUMBER(C71),C71&gt;=100),1,0)</f>
        <v>0</v>
      </c>
      <c r="R71" s="18" t="n">
        <f aca="false">IF(AND(ISNUMBER(H71),H71&lt;1.1),1,0)</f>
        <v>0</v>
      </c>
      <c r="S71" s="18" t="n">
        <f aca="false">O71+P71+Q71+R71</f>
        <v>1</v>
      </c>
      <c r="T71" s="21" t="str">
        <f aca="false">IF(S71=4,"◎売り確定",IF(S71=3,"○警戒","-"))</f>
        <v>-</v>
      </c>
      <c r="U71" s="18" t="str">
        <f aca="false">IF(AND(ISNUMBER(D70),ISNUMBER(D71),D70&gt;0,D71&lt;=0),"転換","")</f>
        <v/>
      </c>
      <c r="V71" s="18" t="str">
        <f aca="false">IF(AND(ISNUMBER(H71),H71&lt;1),"転換","")</f>
        <v/>
      </c>
      <c r="W71" s="18" t="n">
        <f aca="false">IF(T71="◎売り確定",3,IF(T71="○警戒",1,0))</f>
        <v>0</v>
      </c>
      <c r="X71" s="18" t="n">
        <f aca="false">IF(AND(ISNUMBER(N71),N71&gt;=40),3,IF(AND(ISNUMBER(N71),N71&gt;=32),1,0))</f>
        <v>0</v>
      </c>
    </row>
    <row r="72" customFormat="false" ht="15" hidden="false" customHeight="false" outlineLevel="0" collapsed="false">
      <c r="A72" s="16" t="n">
        <f aca="false">データ!A72</f>
        <v>46220</v>
      </c>
      <c r="B72" s="17" t="n">
        <f aca="false">IFERROR(IF(データ!B72="","",データ!B72),"")</f>
        <v>40</v>
      </c>
      <c r="C72" s="17" t="n">
        <f aca="false">IFERROR(IF(データ!C72="","",データ!C72),"")</f>
        <v>43</v>
      </c>
      <c r="D72" s="18" t="n">
        <f aca="false">IFERROR(B72-C72,"")</f>
        <v>-3</v>
      </c>
      <c r="E72" s="19" t="n">
        <f aca="false">IFERROR((B72-C72)/(B72+C72)*100,"")</f>
        <v>-3.6144578313253</v>
      </c>
      <c r="F72" s="20" t="n">
        <f aca="false">IFERROR((B72-B71)/B71,"")</f>
        <v>-0.480519480519481</v>
      </c>
      <c r="G72" s="20" t="n">
        <f aca="false">IFERROR((C72-C71)/C71,"")</f>
        <v>3.3</v>
      </c>
      <c r="H72" s="19" t="n">
        <f aca="false">IFERROR(B72/C72,"")</f>
        <v>0.930232558139535</v>
      </c>
      <c r="I72" s="19" t="n">
        <f aca="false">IFERROR(25*(B72-MIN(INDEX($B$3:$B$72,MAX(3,ROW()-59)-3+1):B72))/(MAX(INDEX($B$3:$B$72,MAX(3,ROW()-59)-3+1):B72)-MIN(INDEX($B$3:$B$72,MAX(3,ROW()-59)-3+1):B72)),12.5)</f>
        <v>2.55681818181818</v>
      </c>
      <c r="J72" s="19" t="n">
        <f aca="false">IFERROR(25*(C72-MIN(INDEX($C$3:$C$72,MAX(3,ROW()-59)-3+1):C72))/(MAX(INDEX($C$3:$C$72,MAX(3,ROW()-59)-3+1):C72)-MIN(INDEX($C$3:$C$72,MAX(3,ROW()-59)-3+1):C72)),12.5)</f>
        <v>2.85923753665689</v>
      </c>
      <c r="K72" s="19" t="n">
        <f aca="false">IFERROR(25*(MAX(INDEX($C$3:$C$72,MAX(3,ROW()-59)-3+1):C72)-C72)/(MAX(INDEX($C$3:$C$72,MAX(3,ROW()-59)-3+1):C72)-MIN(INDEX($C$3:$C$72,MAX(3,ROW()-59)-3+1):C72)),12.5)</f>
        <v>22.1407624633431</v>
      </c>
      <c r="L72" s="19" t="n">
        <f aca="false">IFERROR(25*(MAX(INDEX($B$3:$B$72,MAX(3,ROW()-59)-3+1):B72)-B72)/(MAX(INDEX($B$3:$B$72,MAX(3,ROW()-59)-3+1):B72)-MIN(INDEX($B$3:$B$72,MAX(3,ROW()-59)-3+1):B72)),12.5)</f>
        <v>22.4431818181818</v>
      </c>
      <c r="M72" s="19" t="n">
        <f aca="false">IFERROR(I72+K72,"")</f>
        <v>24.6975806451613</v>
      </c>
      <c r="N72" s="19" t="n">
        <f aca="false">IFERROR(L72+J72,"")</f>
        <v>25.3024193548387</v>
      </c>
      <c r="O72" s="18" t="n">
        <f aca="false">IF(AND(ISNUMBER(B72),B72&gt;=100),1,0)</f>
        <v>0</v>
      </c>
      <c r="P72" s="18" t="n">
        <f aca="false">IF(AND(ISNUMBER(B72),ISNUMBER(B71),B72&lt;B71),1,0)</f>
        <v>1</v>
      </c>
      <c r="Q72" s="18" t="n">
        <f aca="false">IF(AND(ISNUMBER(C72),C72&gt;=100),1,0)</f>
        <v>0</v>
      </c>
      <c r="R72" s="18" t="n">
        <f aca="false">IF(AND(ISNUMBER(H72),H72&lt;1.1),1,0)</f>
        <v>1</v>
      </c>
      <c r="S72" s="18" t="n">
        <f aca="false">O72+P72+Q72+R72</f>
        <v>2</v>
      </c>
      <c r="T72" s="21" t="str">
        <f aca="false">IF(S72=4,"◎売り確定",IF(S72=3,"○警戒","-"))</f>
        <v>-</v>
      </c>
      <c r="U72" s="18" t="str">
        <f aca="false">IF(AND(ISNUMBER(D71),ISNUMBER(D72),D71&gt;0,D72&lt;=0),"転換","")</f>
        <v>転換</v>
      </c>
      <c r="V72" s="18" t="str">
        <f aca="false">IF(AND(ISNUMBER(H72),H72&lt;1),"転換","")</f>
        <v>転換</v>
      </c>
      <c r="W72" s="18" t="n">
        <f aca="false">IF(T72="◎売り確定",3,IF(T72="○警戒",1,0))</f>
        <v>0</v>
      </c>
      <c r="X72" s="18" t="n">
        <f aca="false">IF(AND(ISNUMBER(N72),N72&gt;=40),3,IF(AND(ISNUMBER(N72),N72&gt;=32),1,0))</f>
        <v>0</v>
      </c>
    </row>
  </sheetData>
  <mergeCells count="1">
    <mergeCell ref="A2:V2"/>
  </mergeCells>
  <conditionalFormatting sqref="T3:T72">
    <cfRule type="cellIs" priority="2" operator="equal" aboveAverage="0" equalAverage="0" bottom="0" percent="0" rank="0" text="" dxfId="0">
      <formula>"◎売り確定"</formula>
    </cfRule>
    <cfRule type="cellIs" priority="3" operator="equal" aboveAverage="0" equalAverage="0" bottom="0" percent="0" rank="0" text="" dxfId="1">
      <formula>"○警戒"</formula>
    </cfRule>
  </conditionalFormatting>
  <conditionalFormatting sqref="M3:M72">
    <cfRule type="colorScale" priority="4">
      <colorScale>
        <cfvo type="min" val="0"/>
        <cfvo type="max" val="0"/>
        <color rgb="FFFFFFFF"/>
        <color rgb="FFFF0000"/>
      </colorScale>
    </cfRule>
  </conditionalFormatting>
  <conditionalFormatting sqref="N3:N72">
    <cfRule type="colorScale" priority="5">
      <colorScale>
        <cfvo type="min" val="0"/>
        <cfvo type="max" val="0"/>
        <color rgb="FFFFFFFF"/>
        <color rgb="FF0070C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8" min="6" style="0" width="12"/>
  </cols>
  <sheetData>
    <row r="1" customFormat="false" ht="19.4" hidden="false" customHeight="false" outlineLevel="0" collapsed="false">
      <c r="A1" s="1" t="s">
        <v>5</v>
      </c>
    </row>
    <row r="2" customFormat="false" ht="27.75" hidden="false" customHeight="true" outlineLevel="0" collapsed="false">
      <c r="A2" s="22" t="s">
        <v>6</v>
      </c>
      <c r="B2" s="22"/>
      <c r="C2" s="22"/>
      <c r="D2" s="22"/>
      <c r="E2" s="22"/>
      <c r="F2" s="22"/>
      <c r="G2" s="22"/>
      <c r="H2" s="22"/>
    </row>
    <row r="3" customFormat="false" ht="39.75" hidden="false" customHeight="true" outlineLevel="0" collapsed="false">
      <c r="A3" s="10" t="n">
        <f aca="false">HB分析!A3</f>
        <v>46125</v>
      </c>
      <c r="B3" s="12" t="str">
        <f aca="false">HB分析!T3</f>
        <v>-</v>
      </c>
      <c r="C3" s="11" t="str">
        <f aca="false">IF(B3="◎売り確定",IFERROR(データ!D4,""),"")</f>
        <v/>
      </c>
      <c r="D3" s="11" t="str">
        <f aca="false">IF(B3="◎売り確定",IFERROR(データ!G8,""),"")</f>
        <v/>
      </c>
      <c r="E3" s="11" t="str">
        <f aca="false">IF(AND(ISNUMBER(C3),ISNUMBER(D3)),C3-D3,"")</f>
        <v/>
      </c>
      <c r="F3" s="11" t="n">
        <f aca="false">SUM($E$3:E3)</f>
        <v>0</v>
      </c>
      <c r="G3" s="11" t="n">
        <f aca="false">MAX($F$3:F3)</f>
        <v>0</v>
      </c>
      <c r="H3" s="11" t="n">
        <f aca="false">F3-G3</f>
        <v>0</v>
      </c>
    </row>
    <row r="4" customFormat="false" ht="15" hidden="false" customHeight="false" outlineLevel="0" collapsed="false">
      <c r="A4" s="16" t="n">
        <f aca="false">HB分析!A4</f>
        <v>46126</v>
      </c>
      <c r="B4" s="18" t="str">
        <f aca="false">HB分析!T4</f>
        <v>-</v>
      </c>
      <c r="C4" s="17" t="str">
        <f aca="false">IF(B4="◎売り確定",IFERROR(データ!D5,""),"")</f>
        <v/>
      </c>
      <c r="D4" s="17" t="str">
        <f aca="false">IF(B4="◎売り確定",IFERROR(データ!G9,""),"")</f>
        <v/>
      </c>
      <c r="E4" s="17" t="str">
        <f aca="false">IF(AND(ISNUMBER(C4),ISNUMBER(D4)),C4-D4,"")</f>
        <v/>
      </c>
      <c r="F4" s="17" t="n">
        <f aca="false">SUM($E$3:E4)</f>
        <v>0</v>
      </c>
      <c r="G4" s="17" t="n">
        <f aca="false">MAX($F$3:F4)</f>
        <v>0</v>
      </c>
      <c r="H4" s="17" t="n">
        <f aca="false">F4-G4</f>
        <v>0</v>
      </c>
    </row>
    <row r="5" customFormat="false" ht="15" hidden="false" customHeight="false" outlineLevel="0" collapsed="false">
      <c r="A5" s="16" t="n">
        <f aca="false">HB分析!A5</f>
        <v>46127</v>
      </c>
      <c r="B5" s="18" t="str">
        <f aca="false">HB分析!T5</f>
        <v>-</v>
      </c>
      <c r="C5" s="17" t="str">
        <f aca="false">IF(B5="◎売り確定",IFERROR(データ!D6,""),"")</f>
        <v/>
      </c>
      <c r="D5" s="17" t="str">
        <f aca="false">IF(B5="◎売り確定",IFERROR(データ!G10,""),"")</f>
        <v/>
      </c>
      <c r="E5" s="17" t="str">
        <f aca="false">IF(AND(ISNUMBER(C5),ISNUMBER(D5)),C5-D5,"")</f>
        <v/>
      </c>
      <c r="F5" s="17" t="n">
        <f aca="false">SUM($E$3:E5)</f>
        <v>0</v>
      </c>
      <c r="G5" s="17" t="n">
        <f aca="false">MAX($F$3:F5)</f>
        <v>0</v>
      </c>
      <c r="H5" s="17" t="n">
        <f aca="false">F5-G5</f>
        <v>0</v>
      </c>
    </row>
    <row r="6" customFormat="false" ht="15" hidden="false" customHeight="false" outlineLevel="0" collapsed="false">
      <c r="A6" s="16" t="n">
        <f aca="false">HB分析!A6</f>
        <v>46128</v>
      </c>
      <c r="B6" s="18" t="str">
        <f aca="false">HB分析!T6</f>
        <v>-</v>
      </c>
      <c r="C6" s="17" t="str">
        <f aca="false">IF(B6="◎売り確定",IFERROR(データ!D7,""),"")</f>
        <v/>
      </c>
      <c r="D6" s="17" t="str">
        <f aca="false">IF(B6="◎売り確定",IFERROR(データ!G11,""),"")</f>
        <v/>
      </c>
      <c r="E6" s="17" t="str">
        <f aca="false">IF(AND(ISNUMBER(C6),ISNUMBER(D6)),C6-D6,"")</f>
        <v/>
      </c>
      <c r="F6" s="17" t="n">
        <f aca="false">SUM($E$3:E6)</f>
        <v>0</v>
      </c>
      <c r="G6" s="17" t="n">
        <f aca="false">MAX($F$3:F6)</f>
        <v>0</v>
      </c>
      <c r="H6" s="17" t="n">
        <f aca="false">F6-G6</f>
        <v>0</v>
      </c>
    </row>
    <row r="7" customFormat="false" ht="15" hidden="false" customHeight="false" outlineLevel="0" collapsed="false">
      <c r="A7" s="16" t="n">
        <f aca="false">HB分析!A7</f>
        <v>46129</v>
      </c>
      <c r="B7" s="18" t="str">
        <f aca="false">HB分析!T7</f>
        <v>-</v>
      </c>
      <c r="C7" s="17" t="str">
        <f aca="false">IF(B7="◎売り確定",IFERROR(データ!D8,""),"")</f>
        <v/>
      </c>
      <c r="D7" s="17" t="str">
        <f aca="false">IF(B7="◎売り確定",IFERROR(データ!G12,""),"")</f>
        <v/>
      </c>
      <c r="E7" s="17" t="str">
        <f aca="false">IF(AND(ISNUMBER(C7),ISNUMBER(D7)),C7-D7,"")</f>
        <v/>
      </c>
      <c r="F7" s="17" t="n">
        <f aca="false">SUM($E$3:E7)</f>
        <v>0</v>
      </c>
      <c r="G7" s="17" t="n">
        <f aca="false">MAX($F$3:F7)</f>
        <v>0</v>
      </c>
      <c r="H7" s="17" t="n">
        <f aca="false">F7-G7</f>
        <v>0</v>
      </c>
    </row>
    <row r="8" customFormat="false" ht="15" hidden="false" customHeight="false" outlineLevel="0" collapsed="false">
      <c r="A8" s="16" t="n">
        <f aca="false">HB分析!A8</f>
        <v>46132</v>
      </c>
      <c r="B8" s="18" t="str">
        <f aca="false">HB分析!T8</f>
        <v>-</v>
      </c>
      <c r="C8" s="17" t="str">
        <f aca="false">IF(B8="◎売り確定",IFERROR(データ!D9,""),"")</f>
        <v/>
      </c>
      <c r="D8" s="17" t="str">
        <f aca="false">IF(B8="◎売り確定",IFERROR(データ!G13,""),"")</f>
        <v/>
      </c>
      <c r="E8" s="17" t="str">
        <f aca="false">IF(AND(ISNUMBER(C8),ISNUMBER(D8)),C8-D8,"")</f>
        <v/>
      </c>
      <c r="F8" s="17" t="n">
        <f aca="false">SUM($E$3:E8)</f>
        <v>0</v>
      </c>
      <c r="G8" s="17" t="n">
        <f aca="false">MAX($F$3:F8)</f>
        <v>0</v>
      </c>
      <c r="H8" s="17" t="n">
        <f aca="false">F8-G8</f>
        <v>0</v>
      </c>
    </row>
    <row r="9" customFormat="false" ht="15" hidden="false" customHeight="false" outlineLevel="0" collapsed="false">
      <c r="A9" s="16" t="n">
        <f aca="false">HB分析!A9</f>
        <v>46133</v>
      </c>
      <c r="B9" s="18" t="str">
        <f aca="false">HB分析!T9</f>
        <v>-</v>
      </c>
      <c r="C9" s="17" t="str">
        <f aca="false">IF(B9="◎売り確定",IFERROR(データ!D10,""),"")</f>
        <v/>
      </c>
      <c r="D9" s="17" t="str">
        <f aca="false">IF(B9="◎売り確定",IFERROR(データ!G14,""),"")</f>
        <v/>
      </c>
      <c r="E9" s="17" t="str">
        <f aca="false">IF(AND(ISNUMBER(C9),ISNUMBER(D9)),C9-D9,"")</f>
        <v/>
      </c>
      <c r="F9" s="17" t="n">
        <f aca="false">SUM($E$3:E9)</f>
        <v>0</v>
      </c>
      <c r="G9" s="17" t="n">
        <f aca="false">MAX($F$3:F9)</f>
        <v>0</v>
      </c>
      <c r="H9" s="17" t="n">
        <f aca="false">F9-G9</f>
        <v>0</v>
      </c>
    </row>
    <row r="10" customFormat="false" ht="15" hidden="false" customHeight="false" outlineLevel="0" collapsed="false">
      <c r="A10" s="16" t="n">
        <f aca="false">HB分析!A10</f>
        <v>46134</v>
      </c>
      <c r="B10" s="18" t="str">
        <f aca="false">HB分析!T10</f>
        <v>-</v>
      </c>
      <c r="C10" s="17" t="str">
        <f aca="false">IF(B10="◎売り確定",IFERROR(データ!D11,""),"")</f>
        <v/>
      </c>
      <c r="D10" s="17" t="str">
        <f aca="false">IF(B10="◎売り確定",IFERROR(データ!G15,""),"")</f>
        <v/>
      </c>
      <c r="E10" s="17" t="str">
        <f aca="false">IF(AND(ISNUMBER(C10),ISNUMBER(D10)),C10-D10,"")</f>
        <v/>
      </c>
      <c r="F10" s="17" t="n">
        <f aca="false">SUM($E$3:E10)</f>
        <v>0</v>
      </c>
      <c r="G10" s="17" t="n">
        <f aca="false">MAX($F$3:F10)</f>
        <v>0</v>
      </c>
      <c r="H10" s="17" t="n">
        <f aca="false">F10-G10</f>
        <v>0</v>
      </c>
    </row>
    <row r="11" customFormat="false" ht="15" hidden="false" customHeight="false" outlineLevel="0" collapsed="false">
      <c r="A11" s="16" t="n">
        <f aca="false">HB分析!A11</f>
        <v>46135</v>
      </c>
      <c r="B11" s="18" t="str">
        <f aca="false">HB分析!T11</f>
        <v>○警戒</v>
      </c>
      <c r="C11" s="17" t="str">
        <f aca="false">IF(B11="◎売り確定",IFERROR(データ!D12,""),"")</f>
        <v/>
      </c>
      <c r="D11" s="17" t="str">
        <f aca="false">IF(B11="◎売り確定",IFERROR(データ!G16,""),"")</f>
        <v/>
      </c>
      <c r="E11" s="17" t="str">
        <f aca="false">IF(AND(ISNUMBER(C11),ISNUMBER(D11)),C11-D11,"")</f>
        <v/>
      </c>
      <c r="F11" s="17" t="n">
        <f aca="false">SUM($E$3:E11)</f>
        <v>0</v>
      </c>
      <c r="G11" s="17" t="n">
        <f aca="false">MAX($F$3:F11)</f>
        <v>0</v>
      </c>
      <c r="H11" s="17" t="n">
        <f aca="false">F11-G11</f>
        <v>0</v>
      </c>
    </row>
    <row r="12" customFormat="false" ht="15" hidden="false" customHeight="false" outlineLevel="0" collapsed="false">
      <c r="A12" s="16" t="n">
        <f aca="false">HB分析!A12</f>
        <v>46136</v>
      </c>
      <c r="B12" s="18" t="str">
        <f aca="false">HB分析!T12</f>
        <v>-</v>
      </c>
      <c r="C12" s="17" t="str">
        <f aca="false">IF(B12="◎売り確定",IFERROR(データ!D13,""),"")</f>
        <v/>
      </c>
      <c r="D12" s="17" t="str">
        <f aca="false">IF(B12="◎売り確定",IFERROR(データ!G17,""),"")</f>
        <v/>
      </c>
      <c r="E12" s="17" t="str">
        <f aca="false">IF(AND(ISNUMBER(C12),ISNUMBER(D12)),C12-D12,"")</f>
        <v/>
      </c>
      <c r="F12" s="17" t="n">
        <f aca="false">SUM($E$3:E12)</f>
        <v>0</v>
      </c>
      <c r="G12" s="17" t="n">
        <f aca="false">MAX($F$3:F12)</f>
        <v>0</v>
      </c>
      <c r="H12" s="17" t="n">
        <f aca="false">F12-G12</f>
        <v>0</v>
      </c>
    </row>
    <row r="13" customFormat="false" ht="15" hidden="false" customHeight="false" outlineLevel="0" collapsed="false">
      <c r="A13" s="16" t="n">
        <f aca="false">HB分析!A13</f>
        <v>46139</v>
      </c>
      <c r="B13" s="18" t="str">
        <f aca="false">HB分析!T13</f>
        <v>-</v>
      </c>
      <c r="C13" s="17" t="str">
        <f aca="false">IF(B13="◎売り確定",IFERROR(データ!D14,""),"")</f>
        <v/>
      </c>
      <c r="D13" s="17" t="str">
        <f aca="false">IF(B13="◎売り確定",IFERROR(データ!G18,""),"")</f>
        <v/>
      </c>
      <c r="E13" s="17" t="str">
        <f aca="false">IF(AND(ISNUMBER(C13),ISNUMBER(D13)),C13-D13,"")</f>
        <v/>
      </c>
      <c r="F13" s="17" t="n">
        <f aca="false">SUM($E$3:E13)</f>
        <v>0</v>
      </c>
      <c r="G13" s="17" t="n">
        <f aca="false">MAX($F$3:F13)</f>
        <v>0</v>
      </c>
      <c r="H13" s="17" t="n">
        <f aca="false">F13-G13</f>
        <v>0</v>
      </c>
    </row>
    <row r="14" customFormat="false" ht="15" hidden="false" customHeight="false" outlineLevel="0" collapsed="false">
      <c r="A14" s="16" t="n">
        <f aca="false">HB分析!A14</f>
        <v>46140</v>
      </c>
      <c r="B14" s="18" t="str">
        <f aca="false">HB分析!T14</f>
        <v>-</v>
      </c>
      <c r="C14" s="17" t="str">
        <f aca="false">IF(B14="◎売り確定",IFERROR(データ!D15,""),"")</f>
        <v/>
      </c>
      <c r="D14" s="17" t="str">
        <f aca="false">IF(B14="◎売り確定",IFERROR(データ!G19,""),"")</f>
        <v/>
      </c>
      <c r="E14" s="17" t="str">
        <f aca="false">IF(AND(ISNUMBER(C14),ISNUMBER(D14)),C14-D14,"")</f>
        <v/>
      </c>
      <c r="F14" s="17" t="n">
        <f aca="false">SUM($E$3:E14)</f>
        <v>0</v>
      </c>
      <c r="G14" s="17" t="n">
        <f aca="false">MAX($F$3:F14)</f>
        <v>0</v>
      </c>
      <c r="H14" s="17" t="n">
        <f aca="false">F14-G14</f>
        <v>0</v>
      </c>
    </row>
    <row r="15" customFormat="false" ht="15" hidden="false" customHeight="false" outlineLevel="0" collapsed="false">
      <c r="A15" s="16" t="n">
        <f aca="false">HB分析!A15</f>
        <v>46141</v>
      </c>
      <c r="B15" s="18" t="str">
        <f aca="false">HB分析!T15</f>
        <v>-</v>
      </c>
      <c r="C15" s="17" t="str">
        <f aca="false">IF(B15="◎売り確定",IFERROR(データ!D16,""),"")</f>
        <v/>
      </c>
      <c r="D15" s="17" t="str">
        <f aca="false">IF(B15="◎売り確定",IFERROR(データ!G20,""),"")</f>
        <v/>
      </c>
      <c r="E15" s="17" t="str">
        <f aca="false">IF(AND(ISNUMBER(C15),ISNUMBER(D15)),C15-D15,"")</f>
        <v/>
      </c>
      <c r="F15" s="17" t="n">
        <f aca="false">SUM($E$3:E15)</f>
        <v>0</v>
      </c>
      <c r="G15" s="17" t="n">
        <f aca="false">MAX($F$3:F15)</f>
        <v>0</v>
      </c>
      <c r="H15" s="17" t="n">
        <f aca="false">F15-G15</f>
        <v>0</v>
      </c>
    </row>
    <row r="16" customFormat="false" ht="15" hidden="false" customHeight="false" outlineLevel="0" collapsed="false">
      <c r="A16" s="16" t="n">
        <f aca="false">HB分析!A16</f>
        <v>46142</v>
      </c>
      <c r="B16" s="18" t="str">
        <f aca="false">HB分析!T16</f>
        <v>-</v>
      </c>
      <c r="C16" s="17" t="str">
        <f aca="false">IF(B16="◎売り確定",IFERROR(データ!D17,""),"")</f>
        <v/>
      </c>
      <c r="D16" s="17" t="str">
        <f aca="false">IF(B16="◎売り確定",IFERROR(データ!G21,""),"")</f>
        <v/>
      </c>
      <c r="E16" s="17" t="str">
        <f aca="false">IF(AND(ISNUMBER(C16),ISNUMBER(D16)),C16-D16,"")</f>
        <v/>
      </c>
      <c r="F16" s="17" t="n">
        <f aca="false">SUM($E$3:E16)</f>
        <v>0</v>
      </c>
      <c r="G16" s="17" t="n">
        <f aca="false">MAX($F$3:F16)</f>
        <v>0</v>
      </c>
      <c r="H16" s="17" t="n">
        <f aca="false">F16-G16</f>
        <v>0</v>
      </c>
    </row>
    <row r="17" customFormat="false" ht="15" hidden="false" customHeight="false" outlineLevel="0" collapsed="false">
      <c r="A17" s="16" t="n">
        <f aca="false">HB分析!A17</f>
        <v>46143</v>
      </c>
      <c r="B17" s="18" t="str">
        <f aca="false">HB分析!T17</f>
        <v>○警戒</v>
      </c>
      <c r="C17" s="17" t="str">
        <f aca="false">IF(B17="◎売り確定",IFERROR(データ!D18,""),"")</f>
        <v/>
      </c>
      <c r="D17" s="17" t="str">
        <f aca="false">IF(B17="◎売り確定",IFERROR(データ!G22,""),"")</f>
        <v/>
      </c>
      <c r="E17" s="17" t="str">
        <f aca="false">IF(AND(ISNUMBER(C17),ISNUMBER(D17)),C17-D17,"")</f>
        <v/>
      </c>
      <c r="F17" s="17" t="n">
        <f aca="false">SUM($E$3:E17)</f>
        <v>0</v>
      </c>
      <c r="G17" s="17" t="n">
        <f aca="false">MAX($F$3:F17)</f>
        <v>0</v>
      </c>
      <c r="H17" s="17" t="n">
        <f aca="false">F17-G17</f>
        <v>0</v>
      </c>
    </row>
    <row r="18" customFormat="false" ht="15" hidden="false" customHeight="false" outlineLevel="0" collapsed="false">
      <c r="A18" s="16" t="n">
        <f aca="false">HB分析!A18</f>
        <v>46146</v>
      </c>
      <c r="B18" s="18" t="str">
        <f aca="false">HB分析!T18</f>
        <v>-</v>
      </c>
      <c r="C18" s="17" t="str">
        <f aca="false">IF(B18="◎売り確定",IFERROR(データ!D19,""),"")</f>
        <v/>
      </c>
      <c r="D18" s="17" t="str">
        <f aca="false">IF(B18="◎売り確定",IFERROR(データ!G23,""),"")</f>
        <v/>
      </c>
      <c r="E18" s="17" t="str">
        <f aca="false">IF(AND(ISNUMBER(C18),ISNUMBER(D18)),C18-D18,"")</f>
        <v/>
      </c>
      <c r="F18" s="17" t="n">
        <f aca="false">SUM($E$3:E18)</f>
        <v>0</v>
      </c>
      <c r="G18" s="17" t="n">
        <f aca="false">MAX($F$3:F18)</f>
        <v>0</v>
      </c>
      <c r="H18" s="17" t="n">
        <f aca="false">F18-G18</f>
        <v>0</v>
      </c>
    </row>
    <row r="19" customFormat="false" ht="15" hidden="false" customHeight="false" outlineLevel="0" collapsed="false">
      <c r="A19" s="16" t="n">
        <f aca="false">HB分析!A19</f>
        <v>46147</v>
      </c>
      <c r="B19" s="18" t="str">
        <f aca="false">HB分析!T19</f>
        <v>-</v>
      </c>
      <c r="C19" s="17" t="str">
        <f aca="false">IF(B19="◎売り確定",IFERROR(データ!D20,""),"")</f>
        <v/>
      </c>
      <c r="D19" s="17" t="str">
        <f aca="false">IF(B19="◎売り確定",IFERROR(データ!G24,""),"")</f>
        <v/>
      </c>
      <c r="E19" s="17" t="str">
        <f aca="false">IF(AND(ISNUMBER(C19),ISNUMBER(D19)),C19-D19,"")</f>
        <v/>
      </c>
      <c r="F19" s="17" t="n">
        <f aca="false">SUM($E$3:E19)</f>
        <v>0</v>
      </c>
      <c r="G19" s="17" t="n">
        <f aca="false">MAX($F$3:F19)</f>
        <v>0</v>
      </c>
      <c r="H19" s="17" t="n">
        <f aca="false">F19-G19</f>
        <v>0</v>
      </c>
    </row>
    <row r="20" customFormat="false" ht="15" hidden="false" customHeight="false" outlineLevel="0" collapsed="false">
      <c r="A20" s="16" t="n">
        <f aca="false">HB分析!A20</f>
        <v>46148</v>
      </c>
      <c r="B20" s="18" t="str">
        <f aca="false">HB分析!T20</f>
        <v>-</v>
      </c>
      <c r="C20" s="17" t="str">
        <f aca="false">IF(B20="◎売り確定",IFERROR(データ!D21,""),"")</f>
        <v/>
      </c>
      <c r="D20" s="17" t="str">
        <f aca="false">IF(B20="◎売り確定",IFERROR(データ!G25,""),"")</f>
        <v/>
      </c>
      <c r="E20" s="17" t="str">
        <f aca="false">IF(AND(ISNUMBER(C20),ISNUMBER(D20)),C20-D20,"")</f>
        <v/>
      </c>
      <c r="F20" s="17" t="n">
        <f aca="false">SUM($E$3:E20)</f>
        <v>0</v>
      </c>
      <c r="G20" s="17" t="n">
        <f aca="false">MAX($F$3:F20)</f>
        <v>0</v>
      </c>
      <c r="H20" s="17" t="n">
        <f aca="false">F20-G20</f>
        <v>0</v>
      </c>
    </row>
    <row r="21" customFormat="false" ht="15" hidden="false" customHeight="false" outlineLevel="0" collapsed="false">
      <c r="A21" s="16" t="n">
        <f aca="false">HB分析!A21</f>
        <v>46149</v>
      </c>
      <c r="B21" s="18" t="str">
        <f aca="false">HB分析!T21</f>
        <v>-</v>
      </c>
      <c r="C21" s="17" t="str">
        <f aca="false">IF(B21="◎売り確定",IFERROR(データ!D22,""),"")</f>
        <v/>
      </c>
      <c r="D21" s="17" t="str">
        <f aca="false">IF(B21="◎売り確定",IFERROR(データ!G26,""),"")</f>
        <v/>
      </c>
      <c r="E21" s="17" t="str">
        <f aca="false">IF(AND(ISNUMBER(C21),ISNUMBER(D21)),C21-D21,"")</f>
        <v/>
      </c>
      <c r="F21" s="17" t="n">
        <f aca="false">SUM($E$3:E21)</f>
        <v>0</v>
      </c>
      <c r="G21" s="17" t="n">
        <f aca="false">MAX($F$3:F21)</f>
        <v>0</v>
      </c>
      <c r="H21" s="17" t="n">
        <f aca="false">F21-G21</f>
        <v>0</v>
      </c>
    </row>
    <row r="22" customFormat="false" ht="15" hidden="false" customHeight="false" outlineLevel="0" collapsed="false">
      <c r="A22" s="16" t="n">
        <f aca="false">HB分析!A22</f>
        <v>46150</v>
      </c>
      <c r="B22" s="18" t="str">
        <f aca="false">HB分析!T22</f>
        <v>-</v>
      </c>
      <c r="C22" s="17" t="str">
        <f aca="false">IF(B22="◎売り確定",IFERROR(データ!D23,""),"")</f>
        <v/>
      </c>
      <c r="D22" s="17" t="str">
        <f aca="false">IF(B22="◎売り確定",IFERROR(データ!G27,""),"")</f>
        <v/>
      </c>
      <c r="E22" s="17" t="str">
        <f aca="false">IF(AND(ISNUMBER(C22),ISNUMBER(D22)),C22-D22,"")</f>
        <v/>
      </c>
      <c r="F22" s="17" t="n">
        <f aca="false">SUM($E$3:E22)</f>
        <v>0</v>
      </c>
      <c r="G22" s="17" t="n">
        <f aca="false">MAX($F$3:F22)</f>
        <v>0</v>
      </c>
      <c r="H22" s="17" t="n">
        <f aca="false">F22-G22</f>
        <v>0</v>
      </c>
    </row>
    <row r="23" customFormat="false" ht="15" hidden="false" customHeight="false" outlineLevel="0" collapsed="false">
      <c r="A23" s="16" t="n">
        <f aca="false">HB分析!A23</f>
        <v>46153</v>
      </c>
      <c r="B23" s="18" t="str">
        <f aca="false">HB分析!T23</f>
        <v>-</v>
      </c>
      <c r="C23" s="17" t="str">
        <f aca="false">IF(B23="◎売り確定",IFERROR(データ!D24,""),"")</f>
        <v/>
      </c>
      <c r="D23" s="17" t="str">
        <f aca="false">IF(B23="◎売り確定",IFERROR(データ!G28,""),"")</f>
        <v/>
      </c>
      <c r="E23" s="17" t="str">
        <f aca="false">IF(AND(ISNUMBER(C23),ISNUMBER(D23)),C23-D23,"")</f>
        <v/>
      </c>
      <c r="F23" s="17" t="n">
        <f aca="false">SUM($E$3:E23)</f>
        <v>0</v>
      </c>
      <c r="G23" s="17" t="n">
        <f aca="false">MAX($F$3:F23)</f>
        <v>0</v>
      </c>
      <c r="H23" s="17" t="n">
        <f aca="false">F23-G23</f>
        <v>0</v>
      </c>
    </row>
    <row r="24" customFormat="false" ht="15" hidden="false" customHeight="false" outlineLevel="0" collapsed="false">
      <c r="A24" s="16" t="n">
        <f aca="false">HB分析!A24</f>
        <v>46154</v>
      </c>
      <c r="B24" s="18" t="str">
        <f aca="false">HB分析!T24</f>
        <v>○警戒</v>
      </c>
      <c r="C24" s="17" t="str">
        <f aca="false">IF(B24="◎売り確定",IFERROR(データ!D25,""),"")</f>
        <v/>
      </c>
      <c r="D24" s="17" t="str">
        <f aca="false">IF(B24="◎売り確定",IFERROR(データ!G29,""),"")</f>
        <v/>
      </c>
      <c r="E24" s="17" t="str">
        <f aca="false">IF(AND(ISNUMBER(C24),ISNUMBER(D24)),C24-D24,"")</f>
        <v/>
      </c>
      <c r="F24" s="17" t="n">
        <f aca="false">SUM($E$3:E24)</f>
        <v>0</v>
      </c>
      <c r="G24" s="17" t="n">
        <f aca="false">MAX($F$3:F24)</f>
        <v>0</v>
      </c>
      <c r="H24" s="17" t="n">
        <f aca="false">F24-G24</f>
        <v>0</v>
      </c>
    </row>
    <row r="25" customFormat="false" ht="15" hidden="false" customHeight="false" outlineLevel="0" collapsed="false">
      <c r="A25" s="16" t="n">
        <f aca="false">HB分析!A25</f>
        <v>46155</v>
      </c>
      <c r="B25" s="18" t="str">
        <f aca="false">HB分析!T25</f>
        <v>○警戒</v>
      </c>
      <c r="C25" s="17" t="str">
        <f aca="false">IF(B25="◎売り確定",IFERROR(データ!D26,""),"")</f>
        <v/>
      </c>
      <c r="D25" s="17" t="str">
        <f aca="false">IF(B25="◎売り確定",IFERROR(データ!G30,""),"")</f>
        <v/>
      </c>
      <c r="E25" s="17" t="str">
        <f aca="false">IF(AND(ISNUMBER(C25),ISNUMBER(D25)),C25-D25,"")</f>
        <v/>
      </c>
      <c r="F25" s="17" t="n">
        <f aca="false">SUM($E$3:E25)</f>
        <v>0</v>
      </c>
      <c r="G25" s="17" t="n">
        <f aca="false">MAX($F$3:F25)</f>
        <v>0</v>
      </c>
      <c r="H25" s="17" t="n">
        <f aca="false">F25-G25</f>
        <v>0</v>
      </c>
    </row>
    <row r="26" customFormat="false" ht="15" hidden="false" customHeight="false" outlineLevel="0" collapsed="false">
      <c r="A26" s="16" t="n">
        <f aca="false">HB分析!A26</f>
        <v>46156</v>
      </c>
      <c r="B26" s="18" t="str">
        <f aca="false">HB分析!T26</f>
        <v>○警戒</v>
      </c>
      <c r="C26" s="17" t="str">
        <f aca="false">IF(B26="◎売り確定",IFERROR(データ!D27,""),"")</f>
        <v/>
      </c>
      <c r="D26" s="17" t="str">
        <f aca="false">IF(B26="◎売り確定",IFERROR(データ!G31,""),"")</f>
        <v/>
      </c>
      <c r="E26" s="17" t="str">
        <f aca="false">IF(AND(ISNUMBER(C26),ISNUMBER(D26)),C26-D26,"")</f>
        <v/>
      </c>
      <c r="F26" s="17" t="n">
        <f aca="false">SUM($E$3:E26)</f>
        <v>0</v>
      </c>
      <c r="G26" s="17" t="n">
        <f aca="false">MAX($F$3:F26)</f>
        <v>0</v>
      </c>
      <c r="H26" s="17" t="n">
        <f aca="false">F26-G26</f>
        <v>0</v>
      </c>
    </row>
    <row r="27" customFormat="false" ht="15" hidden="false" customHeight="false" outlineLevel="0" collapsed="false">
      <c r="A27" s="16" t="n">
        <f aca="false">HB分析!A27</f>
        <v>46157</v>
      </c>
      <c r="B27" s="18" t="str">
        <f aca="false">HB分析!T27</f>
        <v>◎売り確定</v>
      </c>
      <c r="C27" s="17" t="n">
        <f aca="false">IF(B27="◎売り確定",IFERROR(データ!D28,""),"")</f>
        <v>61660</v>
      </c>
      <c r="D27" s="17" t="n">
        <f aca="false">IF(B27="◎売り確定",IFERROR(データ!G32,""),"")</f>
        <v>63340</v>
      </c>
      <c r="E27" s="17" t="n">
        <f aca="false">IF(AND(ISNUMBER(C27),ISNUMBER(D27)),C27-D27,"")</f>
        <v>-1680</v>
      </c>
      <c r="F27" s="17" t="n">
        <f aca="false">SUM($E$3:E27)</f>
        <v>-1680</v>
      </c>
      <c r="G27" s="17" t="n">
        <f aca="false">MAX($F$3:F27)</f>
        <v>0</v>
      </c>
      <c r="H27" s="17" t="n">
        <f aca="false">F27-G27</f>
        <v>-1680</v>
      </c>
    </row>
    <row r="28" customFormat="false" ht="15" hidden="false" customHeight="false" outlineLevel="0" collapsed="false">
      <c r="A28" s="16" t="n">
        <f aca="false">HB分析!A28</f>
        <v>46160</v>
      </c>
      <c r="B28" s="18" t="str">
        <f aca="false">HB分析!T28</f>
        <v>○警戒</v>
      </c>
      <c r="C28" s="17" t="str">
        <f aca="false">IF(B28="◎売り確定",IFERROR(データ!D29,""),"")</f>
        <v/>
      </c>
      <c r="D28" s="17" t="str">
        <f aca="false">IF(B28="◎売り確定",IFERROR(データ!G33,""),"")</f>
        <v/>
      </c>
      <c r="E28" s="17" t="str">
        <f aca="false">IF(AND(ISNUMBER(C28),ISNUMBER(D28)),C28-D28,"")</f>
        <v/>
      </c>
      <c r="F28" s="17" t="n">
        <f aca="false">SUM($E$3:E28)</f>
        <v>-1680</v>
      </c>
      <c r="G28" s="17" t="n">
        <f aca="false">MAX($F$3:F28)</f>
        <v>0</v>
      </c>
      <c r="H28" s="17" t="n">
        <f aca="false">F28-G28</f>
        <v>-1680</v>
      </c>
    </row>
    <row r="29" customFormat="false" ht="15" hidden="false" customHeight="false" outlineLevel="0" collapsed="false">
      <c r="A29" s="16" t="n">
        <f aca="false">HB分析!A29</f>
        <v>46161</v>
      </c>
      <c r="B29" s="18" t="str">
        <f aca="false">HB分析!T29</f>
        <v>-</v>
      </c>
      <c r="C29" s="17" t="str">
        <f aca="false">IF(B29="◎売り確定",IFERROR(データ!D30,""),"")</f>
        <v/>
      </c>
      <c r="D29" s="17" t="str">
        <f aca="false">IF(B29="◎売り確定",IFERROR(データ!G34,""),"")</f>
        <v/>
      </c>
      <c r="E29" s="17" t="str">
        <f aca="false">IF(AND(ISNUMBER(C29),ISNUMBER(D29)),C29-D29,"")</f>
        <v/>
      </c>
      <c r="F29" s="17" t="n">
        <f aca="false">SUM($E$3:E29)</f>
        <v>-1680</v>
      </c>
      <c r="G29" s="17" t="n">
        <f aca="false">MAX($F$3:F29)</f>
        <v>0</v>
      </c>
      <c r="H29" s="17" t="n">
        <f aca="false">F29-G29</f>
        <v>-1680</v>
      </c>
    </row>
    <row r="30" customFormat="false" ht="15" hidden="false" customHeight="false" outlineLevel="0" collapsed="false">
      <c r="A30" s="16" t="n">
        <f aca="false">HB分析!A30</f>
        <v>46162</v>
      </c>
      <c r="B30" s="18" t="str">
        <f aca="false">HB分析!T30</f>
        <v>○警戒</v>
      </c>
      <c r="C30" s="17" t="str">
        <f aca="false">IF(B30="◎売り確定",IFERROR(データ!D31,""),"")</f>
        <v/>
      </c>
      <c r="D30" s="17" t="str">
        <f aca="false">IF(B30="◎売り確定",IFERROR(データ!G35,""),"")</f>
        <v/>
      </c>
      <c r="E30" s="17" t="str">
        <f aca="false">IF(AND(ISNUMBER(C30),ISNUMBER(D30)),C30-D30,"")</f>
        <v/>
      </c>
      <c r="F30" s="17" t="n">
        <f aca="false">SUM($E$3:E30)</f>
        <v>-1680</v>
      </c>
      <c r="G30" s="17" t="n">
        <f aca="false">MAX($F$3:F30)</f>
        <v>0</v>
      </c>
      <c r="H30" s="17" t="n">
        <f aca="false">F30-G30</f>
        <v>-1680</v>
      </c>
    </row>
    <row r="31" customFormat="false" ht="15" hidden="false" customHeight="false" outlineLevel="0" collapsed="false">
      <c r="A31" s="16" t="n">
        <f aca="false">HB分析!A31</f>
        <v>46163</v>
      </c>
      <c r="B31" s="18" t="str">
        <f aca="false">HB分析!T31</f>
        <v>-</v>
      </c>
      <c r="C31" s="17" t="str">
        <f aca="false">IF(B31="◎売り確定",IFERROR(データ!D32,""),"")</f>
        <v/>
      </c>
      <c r="D31" s="17" t="str">
        <f aca="false">IF(B31="◎売り確定",IFERROR(データ!G36,""),"")</f>
        <v/>
      </c>
      <c r="E31" s="17" t="str">
        <f aca="false">IF(AND(ISNUMBER(C31),ISNUMBER(D31)),C31-D31,"")</f>
        <v/>
      </c>
      <c r="F31" s="17" t="n">
        <f aca="false">SUM($E$3:E31)</f>
        <v>-1680</v>
      </c>
      <c r="G31" s="17" t="n">
        <f aca="false">MAX($F$3:F31)</f>
        <v>0</v>
      </c>
      <c r="H31" s="17" t="n">
        <f aca="false">F31-G31</f>
        <v>-1680</v>
      </c>
    </row>
    <row r="32" customFormat="false" ht="15" hidden="false" customHeight="false" outlineLevel="0" collapsed="false">
      <c r="A32" s="16" t="n">
        <f aca="false">HB分析!A32</f>
        <v>46164</v>
      </c>
      <c r="B32" s="18" t="str">
        <f aca="false">HB分析!T32</f>
        <v>○警戒</v>
      </c>
      <c r="C32" s="17" t="str">
        <f aca="false">IF(B32="◎売り確定",IFERROR(データ!D33,""),"")</f>
        <v/>
      </c>
      <c r="D32" s="17" t="str">
        <f aca="false">IF(B32="◎売り確定",IFERROR(データ!G37,""),"")</f>
        <v/>
      </c>
      <c r="E32" s="17" t="str">
        <f aca="false">IF(AND(ISNUMBER(C32),ISNUMBER(D32)),C32-D32,"")</f>
        <v/>
      </c>
      <c r="F32" s="17" t="n">
        <f aca="false">SUM($E$3:E32)</f>
        <v>-1680</v>
      </c>
      <c r="G32" s="17" t="n">
        <f aca="false">MAX($F$3:F32)</f>
        <v>0</v>
      </c>
      <c r="H32" s="17" t="n">
        <f aca="false">F32-G32</f>
        <v>-1680</v>
      </c>
    </row>
    <row r="33" customFormat="false" ht="15" hidden="false" customHeight="false" outlineLevel="0" collapsed="false">
      <c r="A33" s="16" t="n">
        <f aca="false">HB分析!A33</f>
        <v>46167</v>
      </c>
      <c r="B33" s="18" t="str">
        <f aca="false">HB分析!T33</f>
        <v>○警戒</v>
      </c>
      <c r="C33" s="17" t="str">
        <f aca="false">IF(B33="◎売り確定",IFERROR(データ!D34,""),"")</f>
        <v/>
      </c>
      <c r="D33" s="17" t="str">
        <f aca="false">IF(B33="◎売り確定",IFERROR(データ!G38,""),"")</f>
        <v/>
      </c>
      <c r="E33" s="17" t="str">
        <f aca="false">IF(AND(ISNUMBER(C33),ISNUMBER(D33)),C33-D33,"")</f>
        <v/>
      </c>
      <c r="F33" s="17" t="n">
        <f aca="false">SUM($E$3:E33)</f>
        <v>-1680</v>
      </c>
      <c r="G33" s="17" t="n">
        <f aca="false">MAX($F$3:F33)</f>
        <v>0</v>
      </c>
      <c r="H33" s="17" t="n">
        <f aca="false">F33-G33</f>
        <v>-1680</v>
      </c>
    </row>
    <row r="34" customFormat="false" ht="15" hidden="false" customHeight="false" outlineLevel="0" collapsed="false">
      <c r="A34" s="16" t="n">
        <f aca="false">HB分析!A34</f>
        <v>46168</v>
      </c>
      <c r="B34" s="18" t="str">
        <f aca="false">HB分析!T34</f>
        <v>◎売り確定</v>
      </c>
      <c r="C34" s="17" t="n">
        <f aca="false">IF(B34="◎売り確定",IFERROR(データ!D35,""),"")</f>
        <v>65780</v>
      </c>
      <c r="D34" s="17" t="n">
        <f aca="false">IF(B34="◎売り確定",IFERROR(データ!G39,""),"")</f>
        <v>66750</v>
      </c>
      <c r="E34" s="17" t="n">
        <f aca="false">IF(AND(ISNUMBER(C34),ISNUMBER(D34)),C34-D34,"")</f>
        <v>-970</v>
      </c>
      <c r="F34" s="17" t="n">
        <f aca="false">SUM($E$3:E34)</f>
        <v>-2650</v>
      </c>
      <c r="G34" s="17" t="n">
        <f aca="false">MAX($F$3:F34)</f>
        <v>0</v>
      </c>
      <c r="H34" s="17" t="n">
        <f aca="false">F34-G34</f>
        <v>-2650</v>
      </c>
    </row>
    <row r="35" customFormat="false" ht="15" hidden="false" customHeight="false" outlineLevel="0" collapsed="false">
      <c r="A35" s="16" t="n">
        <f aca="false">HB分析!A35</f>
        <v>46169</v>
      </c>
      <c r="B35" s="18" t="str">
        <f aca="false">HB分析!T35</f>
        <v>◎売り確定</v>
      </c>
      <c r="C35" s="17" t="n">
        <f aca="false">IF(B35="◎売り確定",IFERROR(データ!D36,""),"")</f>
        <v>64960</v>
      </c>
      <c r="D35" s="17" t="n">
        <f aca="false">IF(B35="◎売り確定",IFERROR(データ!G40,""),"")</f>
        <v>68560</v>
      </c>
      <c r="E35" s="17" t="n">
        <f aca="false">IF(AND(ISNUMBER(C35),ISNUMBER(D35)),C35-D35,"")</f>
        <v>-3600</v>
      </c>
      <c r="F35" s="17" t="n">
        <f aca="false">SUM($E$3:E35)</f>
        <v>-6250</v>
      </c>
      <c r="G35" s="17" t="n">
        <f aca="false">MAX($F$3:F35)</f>
        <v>0</v>
      </c>
      <c r="H35" s="17" t="n">
        <f aca="false">F35-G35</f>
        <v>-6250</v>
      </c>
    </row>
    <row r="36" customFormat="false" ht="15" hidden="false" customHeight="false" outlineLevel="0" collapsed="false">
      <c r="A36" s="16" t="n">
        <f aca="false">HB分析!A36</f>
        <v>46170</v>
      </c>
      <c r="B36" s="18" t="str">
        <f aca="false">HB分析!T36</f>
        <v>○警戒</v>
      </c>
      <c r="C36" s="17" t="str">
        <f aca="false">IF(B36="◎売り確定",IFERROR(データ!D37,""),"")</f>
        <v/>
      </c>
      <c r="D36" s="17" t="str">
        <f aca="false">IF(B36="◎売り確定",IFERROR(データ!G41,""),"")</f>
        <v/>
      </c>
      <c r="E36" s="17" t="str">
        <f aca="false">IF(AND(ISNUMBER(C36),ISNUMBER(D36)),C36-D36,"")</f>
        <v/>
      </c>
      <c r="F36" s="17" t="n">
        <f aca="false">SUM($E$3:E36)</f>
        <v>-6250</v>
      </c>
      <c r="G36" s="17" t="n">
        <f aca="false">MAX($F$3:F36)</f>
        <v>0</v>
      </c>
      <c r="H36" s="17" t="n">
        <f aca="false">F36-G36</f>
        <v>-6250</v>
      </c>
    </row>
    <row r="37" customFormat="false" ht="15" hidden="false" customHeight="false" outlineLevel="0" collapsed="false">
      <c r="A37" s="16" t="n">
        <f aca="false">HB分析!A37</f>
        <v>46171</v>
      </c>
      <c r="B37" s="18" t="str">
        <f aca="false">HB分析!T37</f>
        <v>-</v>
      </c>
      <c r="C37" s="17" t="str">
        <f aca="false">IF(B37="◎売り確定",IFERROR(データ!D38,""),"")</f>
        <v/>
      </c>
      <c r="D37" s="17" t="str">
        <f aca="false">IF(B37="◎売り確定",IFERROR(データ!G42,""),"")</f>
        <v/>
      </c>
      <c r="E37" s="17" t="str">
        <f aca="false">IF(AND(ISNUMBER(C37),ISNUMBER(D37)),C37-D37,"")</f>
        <v/>
      </c>
      <c r="F37" s="17" t="n">
        <f aca="false">SUM($E$3:E37)</f>
        <v>-6250</v>
      </c>
      <c r="G37" s="17" t="n">
        <f aca="false">MAX($F$3:F37)</f>
        <v>0</v>
      </c>
      <c r="H37" s="17" t="n">
        <f aca="false">F37-G37</f>
        <v>-6250</v>
      </c>
    </row>
    <row r="38" customFormat="false" ht="15" hidden="false" customHeight="false" outlineLevel="0" collapsed="false">
      <c r="A38" s="16" t="n">
        <f aca="false">HB分析!A38</f>
        <v>46174</v>
      </c>
      <c r="B38" s="18" t="str">
        <f aca="false">HB分析!T38</f>
        <v>◎売り確定</v>
      </c>
      <c r="C38" s="17" t="n">
        <f aca="false">IF(B38="◎売り確定",IFERROR(データ!D39,""),"")</f>
        <v>67070</v>
      </c>
      <c r="D38" s="17" t="n">
        <f aca="false">IF(B38="◎売り確定",IFERROR(データ!G43,""),"")</f>
        <v>63820</v>
      </c>
      <c r="E38" s="17" t="n">
        <f aca="false">IF(AND(ISNUMBER(C38),ISNUMBER(D38)),C38-D38,"")</f>
        <v>3250</v>
      </c>
      <c r="F38" s="17" t="n">
        <f aca="false">SUM($E$3:E38)</f>
        <v>-3000</v>
      </c>
      <c r="G38" s="17" t="n">
        <f aca="false">MAX($F$3:F38)</f>
        <v>0</v>
      </c>
      <c r="H38" s="17" t="n">
        <f aca="false">F38-G38</f>
        <v>-3000</v>
      </c>
    </row>
    <row r="39" customFormat="false" ht="15" hidden="false" customHeight="false" outlineLevel="0" collapsed="false">
      <c r="A39" s="16" t="n">
        <f aca="false">HB分析!A39</f>
        <v>46175</v>
      </c>
      <c r="B39" s="18" t="str">
        <f aca="false">HB分析!T39</f>
        <v>○警戒</v>
      </c>
      <c r="C39" s="17" t="str">
        <f aca="false">IF(B39="◎売り確定",IFERROR(データ!D40,""),"")</f>
        <v/>
      </c>
      <c r="D39" s="17" t="str">
        <f aca="false">IF(B39="◎売り確定",IFERROR(データ!G44,""),"")</f>
        <v/>
      </c>
      <c r="E39" s="17" t="str">
        <f aca="false">IF(AND(ISNUMBER(C39),ISNUMBER(D39)),C39-D39,"")</f>
        <v/>
      </c>
      <c r="F39" s="17" t="n">
        <f aca="false">SUM($E$3:E39)</f>
        <v>-3000</v>
      </c>
      <c r="G39" s="17" t="n">
        <f aca="false">MAX($F$3:F39)</f>
        <v>0</v>
      </c>
      <c r="H39" s="17" t="n">
        <f aca="false">F39-G39</f>
        <v>-3000</v>
      </c>
    </row>
    <row r="40" customFormat="false" ht="15" hidden="false" customHeight="false" outlineLevel="0" collapsed="false">
      <c r="A40" s="16" t="n">
        <f aca="false">HB分析!A40</f>
        <v>46176</v>
      </c>
      <c r="B40" s="18" t="str">
        <f aca="false">HB分析!T40</f>
        <v>-</v>
      </c>
      <c r="C40" s="17" t="str">
        <f aca="false">IF(B40="◎売り確定",IFERROR(データ!D41,""),"")</f>
        <v/>
      </c>
      <c r="D40" s="17" t="str">
        <f aca="false">IF(B40="◎売り確定",IFERROR(データ!G45,""),"")</f>
        <v/>
      </c>
      <c r="E40" s="17" t="str">
        <f aca="false">IF(AND(ISNUMBER(C40),ISNUMBER(D40)),C40-D40,"")</f>
        <v/>
      </c>
      <c r="F40" s="17" t="n">
        <f aca="false">SUM($E$3:E40)</f>
        <v>-3000</v>
      </c>
      <c r="G40" s="17" t="n">
        <f aca="false">MAX($F$3:F40)</f>
        <v>0</v>
      </c>
      <c r="H40" s="17" t="n">
        <f aca="false">F40-G40</f>
        <v>-3000</v>
      </c>
    </row>
    <row r="41" customFormat="false" ht="15" hidden="false" customHeight="false" outlineLevel="0" collapsed="false">
      <c r="A41" s="16" t="n">
        <f aca="false">HB分析!A41</f>
        <v>46177</v>
      </c>
      <c r="B41" s="18" t="str">
        <f aca="false">HB分析!T41</f>
        <v>○警戒</v>
      </c>
      <c r="C41" s="17" t="str">
        <f aca="false">IF(B41="◎売り確定",IFERROR(データ!D42,""),"")</f>
        <v/>
      </c>
      <c r="D41" s="17" t="str">
        <f aca="false">IF(B41="◎売り確定",IFERROR(データ!G46,""),"")</f>
        <v/>
      </c>
      <c r="E41" s="17" t="str">
        <f aca="false">IF(AND(ISNUMBER(C41),ISNUMBER(D41)),C41-D41,"")</f>
        <v/>
      </c>
      <c r="F41" s="17" t="n">
        <f aca="false">SUM($E$3:E41)</f>
        <v>-3000</v>
      </c>
      <c r="G41" s="17" t="n">
        <f aca="false">MAX($F$3:F41)</f>
        <v>0</v>
      </c>
      <c r="H41" s="17" t="n">
        <f aca="false">F41-G41</f>
        <v>-3000</v>
      </c>
    </row>
    <row r="42" customFormat="false" ht="15" hidden="false" customHeight="false" outlineLevel="0" collapsed="false">
      <c r="A42" s="16" t="n">
        <f aca="false">HB分析!A42</f>
        <v>46178</v>
      </c>
      <c r="B42" s="18" t="str">
        <f aca="false">HB分析!T42</f>
        <v>-</v>
      </c>
      <c r="C42" s="17" t="str">
        <f aca="false">IF(B42="◎売り確定",IFERROR(データ!D43,""),"")</f>
        <v/>
      </c>
      <c r="D42" s="17" t="str">
        <f aca="false">IF(B42="◎売り確定",IFERROR(データ!G47,""),"")</f>
        <v/>
      </c>
      <c r="E42" s="17" t="str">
        <f aca="false">IF(AND(ISNUMBER(C42),ISNUMBER(D42)),C42-D42,"")</f>
        <v/>
      </c>
      <c r="F42" s="17" t="n">
        <f aca="false">SUM($E$3:E42)</f>
        <v>-3000</v>
      </c>
      <c r="G42" s="17" t="n">
        <f aca="false">MAX($F$3:F42)</f>
        <v>0</v>
      </c>
      <c r="H42" s="17" t="n">
        <f aca="false">F42-G42</f>
        <v>-3000</v>
      </c>
    </row>
    <row r="43" customFormat="false" ht="15" hidden="false" customHeight="false" outlineLevel="0" collapsed="false">
      <c r="A43" s="16" t="n">
        <f aca="false">HB分析!A43</f>
        <v>46181</v>
      </c>
      <c r="B43" s="18" t="str">
        <f aca="false">HB分析!T43</f>
        <v>○警戒</v>
      </c>
      <c r="C43" s="17" t="str">
        <f aca="false">IF(B43="◎売り確定",IFERROR(データ!D44,""),"")</f>
        <v/>
      </c>
      <c r="D43" s="17" t="str">
        <f aca="false">IF(B43="◎売り確定",IFERROR(データ!G48,""),"")</f>
        <v/>
      </c>
      <c r="E43" s="17" t="str">
        <f aca="false">IF(AND(ISNUMBER(C43),ISNUMBER(D43)),C43-D43,"")</f>
        <v/>
      </c>
      <c r="F43" s="17" t="n">
        <f aca="false">SUM($E$3:E43)</f>
        <v>-3000</v>
      </c>
      <c r="G43" s="17" t="n">
        <f aca="false">MAX($F$3:F43)</f>
        <v>0</v>
      </c>
      <c r="H43" s="17" t="n">
        <f aca="false">F43-G43</f>
        <v>-3000</v>
      </c>
    </row>
    <row r="44" customFormat="false" ht="15" hidden="false" customHeight="false" outlineLevel="0" collapsed="false">
      <c r="A44" s="16" t="n">
        <f aca="false">HB分析!A44</f>
        <v>46182</v>
      </c>
      <c r="B44" s="18" t="str">
        <f aca="false">HB分析!T44</f>
        <v>-</v>
      </c>
      <c r="C44" s="17" t="str">
        <f aca="false">IF(B44="◎売り確定",IFERROR(データ!D45,""),"")</f>
        <v/>
      </c>
      <c r="D44" s="17" t="str">
        <f aca="false">IF(B44="◎売り確定",IFERROR(データ!G49,""),"")</f>
        <v/>
      </c>
      <c r="E44" s="17" t="str">
        <f aca="false">IF(AND(ISNUMBER(C44),ISNUMBER(D44)),C44-D44,"")</f>
        <v/>
      </c>
      <c r="F44" s="17" t="n">
        <f aca="false">SUM($E$3:E44)</f>
        <v>-3000</v>
      </c>
      <c r="G44" s="17" t="n">
        <f aca="false">MAX($F$3:F44)</f>
        <v>0</v>
      </c>
      <c r="H44" s="17" t="n">
        <f aca="false">F44-G44</f>
        <v>-3000</v>
      </c>
    </row>
    <row r="45" customFormat="false" ht="15" hidden="false" customHeight="false" outlineLevel="0" collapsed="false">
      <c r="A45" s="16" t="n">
        <f aca="false">HB分析!A45</f>
        <v>46183</v>
      </c>
      <c r="B45" s="18" t="str">
        <f aca="false">HB分析!T45</f>
        <v>-</v>
      </c>
      <c r="C45" s="17" t="str">
        <f aca="false">IF(B45="◎売り確定",IFERROR(データ!D46,""),"")</f>
        <v/>
      </c>
      <c r="D45" s="17" t="str">
        <f aca="false">IF(B45="◎売り確定",IFERROR(データ!G50,""),"")</f>
        <v/>
      </c>
      <c r="E45" s="17" t="str">
        <f aca="false">IF(AND(ISNUMBER(C45),ISNUMBER(D45)),C45-D45,"")</f>
        <v/>
      </c>
      <c r="F45" s="17" t="n">
        <f aca="false">SUM($E$3:E45)</f>
        <v>-3000</v>
      </c>
      <c r="G45" s="17" t="n">
        <f aca="false">MAX($F$3:F45)</f>
        <v>0</v>
      </c>
      <c r="H45" s="17" t="n">
        <f aca="false">F45-G45</f>
        <v>-3000</v>
      </c>
    </row>
    <row r="46" customFormat="false" ht="15" hidden="false" customHeight="false" outlineLevel="0" collapsed="false">
      <c r="A46" s="16" t="n">
        <f aca="false">HB分析!A46</f>
        <v>46184</v>
      </c>
      <c r="B46" s="18" t="str">
        <f aca="false">HB分析!T46</f>
        <v>○警戒</v>
      </c>
      <c r="C46" s="17" t="str">
        <f aca="false">IF(B46="◎売り確定",IFERROR(データ!D47,""),"")</f>
        <v/>
      </c>
      <c r="D46" s="17" t="str">
        <f aca="false">IF(B46="◎売り確定",IFERROR(データ!G51,""),"")</f>
        <v/>
      </c>
      <c r="E46" s="17" t="str">
        <f aca="false">IF(AND(ISNUMBER(C46),ISNUMBER(D46)),C46-D46,"")</f>
        <v/>
      </c>
      <c r="F46" s="17" t="n">
        <f aca="false">SUM($E$3:E46)</f>
        <v>-3000</v>
      </c>
      <c r="G46" s="17" t="n">
        <f aca="false">MAX($F$3:F46)</f>
        <v>0</v>
      </c>
      <c r="H46" s="17" t="n">
        <f aca="false">F46-G46</f>
        <v>-3000</v>
      </c>
    </row>
    <row r="47" customFormat="false" ht="15" hidden="false" customHeight="false" outlineLevel="0" collapsed="false">
      <c r="A47" s="16" t="n">
        <f aca="false">HB分析!A47</f>
        <v>46185</v>
      </c>
      <c r="B47" s="18" t="str">
        <f aca="false">HB分析!T47</f>
        <v>-</v>
      </c>
      <c r="C47" s="17" t="str">
        <f aca="false">IF(B47="◎売り確定",IFERROR(データ!D48,""),"")</f>
        <v/>
      </c>
      <c r="D47" s="17" t="str">
        <f aca="false">IF(B47="◎売り確定",IFERROR(データ!G52,""),"")</f>
        <v/>
      </c>
      <c r="E47" s="17" t="str">
        <f aca="false">IF(AND(ISNUMBER(C47),ISNUMBER(D47)),C47-D47,"")</f>
        <v/>
      </c>
      <c r="F47" s="17" t="n">
        <f aca="false">SUM($E$3:E47)</f>
        <v>-3000</v>
      </c>
      <c r="G47" s="17" t="n">
        <f aca="false">MAX($F$3:F47)</f>
        <v>0</v>
      </c>
      <c r="H47" s="17" t="n">
        <f aca="false">F47-G47</f>
        <v>-3000</v>
      </c>
    </row>
    <row r="48" customFormat="false" ht="15" hidden="false" customHeight="false" outlineLevel="0" collapsed="false">
      <c r="A48" s="16" t="n">
        <f aca="false">HB分析!A48</f>
        <v>46188</v>
      </c>
      <c r="B48" s="18" t="str">
        <f aca="false">HB分析!T48</f>
        <v>-</v>
      </c>
      <c r="C48" s="17" t="str">
        <f aca="false">IF(B48="◎売り確定",IFERROR(データ!D49,""),"")</f>
        <v/>
      </c>
      <c r="D48" s="17" t="str">
        <f aca="false">IF(B48="◎売り確定",IFERROR(データ!G53,""),"")</f>
        <v/>
      </c>
      <c r="E48" s="17" t="str">
        <f aca="false">IF(AND(ISNUMBER(C48),ISNUMBER(D48)),C48-D48,"")</f>
        <v/>
      </c>
      <c r="F48" s="17" t="n">
        <f aca="false">SUM($E$3:E48)</f>
        <v>-3000</v>
      </c>
      <c r="G48" s="17" t="n">
        <f aca="false">MAX($F$3:F48)</f>
        <v>0</v>
      </c>
      <c r="H48" s="17" t="n">
        <f aca="false">F48-G48</f>
        <v>-3000</v>
      </c>
    </row>
    <row r="49" customFormat="false" ht="15" hidden="false" customHeight="false" outlineLevel="0" collapsed="false">
      <c r="A49" s="16" t="n">
        <f aca="false">HB分析!A49</f>
        <v>46189</v>
      </c>
      <c r="B49" s="18" t="str">
        <f aca="false">HB分析!T49</f>
        <v>○警戒</v>
      </c>
      <c r="C49" s="17" t="str">
        <f aca="false">IF(B49="◎売り確定",IFERROR(データ!D50,""),"")</f>
        <v/>
      </c>
      <c r="D49" s="17" t="str">
        <f aca="false">IF(B49="◎売り確定",IFERROR(データ!G54,""),"")</f>
        <v/>
      </c>
      <c r="E49" s="17" t="str">
        <f aca="false">IF(AND(ISNUMBER(C49),ISNUMBER(D49)),C49-D49,"")</f>
        <v/>
      </c>
      <c r="F49" s="17" t="n">
        <f aca="false">SUM($E$3:E49)</f>
        <v>-3000</v>
      </c>
      <c r="G49" s="17" t="n">
        <f aca="false">MAX($F$3:F49)</f>
        <v>0</v>
      </c>
      <c r="H49" s="17" t="n">
        <f aca="false">F49-G49</f>
        <v>-3000</v>
      </c>
    </row>
    <row r="50" customFormat="false" ht="15" hidden="false" customHeight="false" outlineLevel="0" collapsed="false">
      <c r="A50" s="16" t="n">
        <f aca="false">HB分析!A50</f>
        <v>46190</v>
      </c>
      <c r="B50" s="18" t="str">
        <f aca="false">HB分析!T50</f>
        <v>-</v>
      </c>
      <c r="C50" s="17" t="str">
        <f aca="false">IF(B50="◎売り確定",IFERROR(データ!D51,""),"")</f>
        <v/>
      </c>
      <c r="D50" s="17" t="str">
        <f aca="false">IF(B50="◎売り確定",IFERROR(データ!G55,""),"")</f>
        <v/>
      </c>
      <c r="E50" s="17" t="str">
        <f aca="false">IF(AND(ISNUMBER(C50),ISNUMBER(D50)),C50-D50,"")</f>
        <v/>
      </c>
      <c r="F50" s="17" t="n">
        <f aca="false">SUM($E$3:E50)</f>
        <v>-3000</v>
      </c>
      <c r="G50" s="17" t="n">
        <f aca="false">MAX($F$3:F50)</f>
        <v>0</v>
      </c>
      <c r="H50" s="17" t="n">
        <f aca="false">F50-G50</f>
        <v>-3000</v>
      </c>
    </row>
    <row r="51" customFormat="false" ht="15" hidden="false" customHeight="false" outlineLevel="0" collapsed="false">
      <c r="A51" s="16" t="n">
        <f aca="false">HB分析!A51</f>
        <v>46191</v>
      </c>
      <c r="B51" s="18" t="str">
        <f aca="false">HB分析!T51</f>
        <v>-</v>
      </c>
      <c r="C51" s="17" t="str">
        <f aca="false">IF(B51="◎売り確定",IFERROR(データ!D52,""),"")</f>
        <v/>
      </c>
      <c r="D51" s="17" t="str">
        <f aca="false">IF(B51="◎売り確定",IFERROR(データ!G56,""),"")</f>
        <v/>
      </c>
      <c r="E51" s="17" t="str">
        <f aca="false">IF(AND(ISNUMBER(C51),ISNUMBER(D51)),C51-D51,"")</f>
        <v/>
      </c>
      <c r="F51" s="17" t="n">
        <f aca="false">SUM($E$3:E51)</f>
        <v>-3000</v>
      </c>
      <c r="G51" s="17" t="n">
        <f aca="false">MAX($F$3:F51)</f>
        <v>0</v>
      </c>
      <c r="H51" s="17" t="n">
        <f aca="false">F51-G51</f>
        <v>-3000</v>
      </c>
    </row>
    <row r="52" customFormat="false" ht="15" hidden="false" customHeight="false" outlineLevel="0" collapsed="false">
      <c r="A52" s="16" t="n">
        <f aca="false">HB分析!A52</f>
        <v>46192</v>
      </c>
      <c r="B52" s="18" t="str">
        <f aca="false">HB分析!T52</f>
        <v>○警戒</v>
      </c>
      <c r="C52" s="17" t="str">
        <f aca="false">IF(B52="◎売り確定",IFERROR(データ!D53,""),"")</f>
        <v/>
      </c>
      <c r="D52" s="17" t="str">
        <f aca="false">IF(B52="◎売り確定",IFERROR(データ!G57,""),"")</f>
        <v/>
      </c>
      <c r="E52" s="17" t="str">
        <f aca="false">IF(AND(ISNUMBER(C52),ISNUMBER(D52)),C52-D52,"")</f>
        <v/>
      </c>
      <c r="F52" s="17" t="n">
        <f aca="false">SUM($E$3:E52)</f>
        <v>-3000</v>
      </c>
      <c r="G52" s="17" t="n">
        <f aca="false">MAX($F$3:F52)</f>
        <v>0</v>
      </c>
      <c r="H52" s="17" t="n">
        <f aca="false">F52-G52</f>
        <v>-3000</v>
      </c>
    </row>
    <row r="53" customFormat="false" ht="15" hidden="false" customHeight="false" outlineLevel="0" collapsed="false">
      <c r="A53" s="16" t="n">
        <f aca="false">HB分析!A53</f>
        <v>46195</v>
      </c>
      <c r="B53" s="18" t="str">
        <f aca="false">HB分析!T53</f>
        <v>◎売り確定</v>
      </c>
      <c r="C53" s="17" t="n">
        <f aca="false">IF(B53="◎売り確定",IFERROR(データ!D54,""),"")</f>
        <v>72990</v>
      </c>
      <c r="D53" s="17" t="n">
        <f aca="false">IF(B53="◎売り確定",IFERROR(データ!G58,""),"")</f>
        <v>69780</v>
      </c>
      <c r="E53" s="17" t="n">
        <f aca="false">IF(AND(ISNUMBER(C53),ISNUMBER(D53)),C53-D53,"")</f>
        <v>3210</v>
      </c>
      <c r="F53" s="17" t="n">
        <f aca="false">SUM($E$3:E53)</f>
        <v>210</v>
      </c>
      <c r="G53" s="17" t="n">
        <f aca="false">MAX($F$3:F53)</f>
        <v>210</v>
      </c>
      <c r="H53" s="17" t="n">
        <f aca="false">F53-G53</f>
        <v>0</v>
      </c>
    </row>
    <row r="54" customFormat="false" ht="15" hidden="false" customHeight="false" outlineLevel="0" collapsed="false">
      <c r="A54" s="16" t="n">
        <f aca="false">HB分析!A54</f>
        <v>46196</v>
      </c>
      <c r="B54" s="18" t="str">
        <f aca="false">HB分析!T54</f>
        <v>○警戒</v>
      </c>
      <c r="C54" s="17" t="str">
        <f aca="false">IF(B54="◎売り確定",IFERROR(データ!D55,""),"")</f>
        <v/>
      </c>
      <c r="D54" s="17" t="str">
        <f aca="false">IF(B54="◎売り確定",IFERROR(データ!G59,""),"")</f>
        <v/>
      </c>
      <c r="E54" s="17" t="str">
        <f aca="false">IF(AND(ISNUMBER(C54),ISNUMBER(D54)),C54-D54,"")</f>
        <v/>
      </c>
      <c r="F54" s="17" t="n">
        <f aca="false">SUM($E$3:E54)</f>
        <v>210</v>
      </c>
      <c r="G54" s="17" t="n">
        <f aca="false">MAX($F$3:F54)</f>
        <v>210</v>
      </c>
      <c r="H54" s="17" t="n">
        <f aca="false">F54-G54</f>
        <v>0</v>
      </c>
    </row>
    <row r="55" customFormat="false" ht="15" hidden="false" customHeight="false" outlineLevel="0" collapsed="false">
      <c r="A55" s="16" t="n">
        <f aca="false">HB分析!A55</f>
        <v>46197</v>
      </c>
      <c r="B55" s="18" t="str">
        <f aca="false">HB分析!T55</f>
        <v>○警戒</v>
      </c>
      <c r="C55" s="17" t="str">
        <f aca="false">IF(B55="◎売り確定",IFERROR(データ!D56,""),"")</f>
        <v/>
      </c>
      <c r="D55" s="17" t="str">
        <f aca="false">IF(B55="◎売り確定",IFERROR(データ!G60,""),"")</f>
        <v/>
      </c>
      <c r="E55" s="17" t="str">
        <f aca="false">IF(AND(ISNUMBER(C55),ISNUMBER(D55)),C55-D55,"")</f>
        <v/>
      </c>
      <c r="F55" s="17" t="n">
        <f aca="false">SUM($E$3:E55)</f>
        <v>210</v>
      </c>
      <c r="G55" s="17" t="n">
        <f aca="false">MAX($F$3:F55)</f>
        <v>210</v>
      </c>
      <c r="H55" s="17" t="n">
        <f aca="false">F55-G55</f>
        <v>0</v>
      </c>
    </row>
    <row r="56" customFormat="false" ht="15" hidden="false" customHeight="false" outlineLevel="0" collapsed="false">
      <c r="A56" s="16" t="n">
        <f aca="false">HB分析!A56</f>
        <v>46198</v>
      </c>
      <c r="B56" s="18" t="str">
        <f aca="false">HB分析!T56</f>
        <v>-</v>
      </c>
      <c r="C56" s="17" t="str">
        <f aca="false">IF(B56="◎売り確定",IFERROR(データ!D57,""),"")</f>
        <v/>
      </c>
      <c r="D56" s="17" t="str">
        <f aca="false">IF(B56="◎売り確定",IFERROR(データ!G61,""),"")</f>
        <v/>
      </c>
      <c r="E56" s="17" t="str">
        <f aca="false">IF(AND(ISNUMBER(C56),ISNUMBER(D56)),C56-D56,"")</f>
        <v/>
      </c>
      <c r="F56" s="17" t="n">
        <f aca="false">SUM($E$3:E56)</f>
        <v>210</v>
      </c>
      <c r="G56" s="17" t="n">
        <f aca="false">MAX($F$3:F56)</f>
        <v>210</v>
      </c>
      <c r="H56" s="17" t="n">
        <f aca="false">F56-G56</f>
        <v>0</v>
      </c>
    </row>
    <row r="57" customFormat="false" ht="15" hidden="false" customHeight="false" outlineLevel="0" collapsed="false">
      <c r="A57" s="16" t="n">
        <f aca="false">HB分析!A57</f>
        <v>46199</v>
      </c>
      <c r="B57" s="18" t="str">
        <f aca="false">HB分析!T57</f>
        <v>○警戒</v>
      </c>
      <c r="C57" s="17" t="str">
        <f aca="false">IF(B57="◎売り確定",IFERROR(データ!D58,""),"")</f>
        <v/>
      </c>
      <c r="D57" s="17" t="str">
        <f aca="false">IF(B57="◎売り確定",IFERROR(データ!G62,""),"")</f>
        <v/>
      </c>
      <c r="E57" s="17" t="str">
        <f aca="false">IF(AND(ISNUMBER(C57),ISNUMBER(D57)),C57-D57,"")</f>
        <v/>
      </c>
      <c r="F57" s="17" t="n">
        <f aca="false">SUM($E$3:E57)</f>
        <v>210</v>
      </c>
      <c r="G57" s="17" t="n">
        <f aca="false">MAX($F$3:F57)</f>
        <v>210</v>
      </c>
      <c r="H57" s="17" t="n">
        <f aca="false">F57-G57</f>
        <v>0</v>
      </c>
    </row>
    <row r="58" customFormat="false" ht="15" hidden="false" customHeight="false" outlineLevel="0" collapsed="false">
      <c r="A58" s="16" t="n">
        <f aca="false">HB分析!A58</f>
        <v>46202</v>
      </c>
      <c r="B58" s="18" t="str">
        <f aca="false">HB分析!T58</f>
        <v>-</v>
      </c>
      <c r="C58" s="17" t="str">
        <f aca="false">IF(B58="◎売り確定",IFERROR(データ!D59,""),"")</f>
        <v/>
      </c>
      <c r="D58" s="17" t="str">
        <f aca="false">IF(B58="◎売り確定",IFERROR(データ!G63,""),"")</f>
        <v/>
      </c>
      <c r="E58" s="17" t="str">
        <f aca="false">IF(AND(ISNUMBER(C58),ISNUMBER(D58)),C58-D58,"")</f>
        <v/>
      </c>
      <c r="F58" s="17" t="n">
        <f aca="false">SUM($E$3:E58)</f>
        <v>210</v>
      </c>
      <c r="G58" s="17" t="n">
        <f aca="false">MAX($F$3:F58)</f>
        <v>210</v>
      </c>
      <c r="H58" s="17" t="n">
        <f aca="false">F58-G58</f>
        <v>0</v>
      </c>
    </row>
    <row r="59" customFormat="false" ht="15" hidden="false" customHeight="false" outlineLevel="0" collapsed="false">
      <c r="A59" s="16" t="n">
        <f aca="false">HB分析!A59</f>
        <v>46203</v>
      </c>
      <c r="B59" s="18" t="str">
        <f aca="false">HB分析!T59</f>
        <v>-</v>
      </c>
      <c r="C59" s="17" t="str">
        <f aca="false">IF(B59="◎売り確定",IFERROR(データ!D60,""),"")</f>
        <v/>
      </c>
      <c r="D59" s="17" t="str">
        <f aca="false">IF(B59="◎売り確定",IFERROR(データ!G64,""),"")</f>
        <v/>
      </c>
      <c r="E59" s="17" t="str">
        <f aca="false">IF(AND(ISNUMBER(C59),ISNUMBER(D59)),C59-D59,"")</f>
        <v/>
      </c>
      <c r="F59" s="17" t="n">
        <f aca="false">SUM($E$3:E59)</f>
        <v>210</v>
      </c>
      <c r="G59" s="17" t="n">
        <f aca="false">MAX($F$3:F59)</f>
        <v>210</v>
      </c>
      <c r="H59" s="17" t="n">
        <f aca="false">F59-G59</f>
        <v>0</v>
      </c>
    </row>
    <row r="60" customFormat="false" ht="15" hidden="false" customHeight="false" outlineLevel="0" collapsed="false">
      <c r="A60" s="16" t="n">
        <f aca="false">HB分析!A60</f>
        <v>46204</v>
      </c>
      <c r="B60" s="18" t="str">
        <f aca="false">HB分析!T60</f>
        <v>-</v>
      </c>
      <c r="C60" s="17" t="str">
        <f aca="false">IF(B60="◎売り確定",IFERROR(データ!D61,""),"")</f>
        <v/>
      </c>
      <c r="D60" s="17" t="str">
        <f aca="false">IF(B60="◎売り確定",IFERROR(データ!G65,""),"")</f>
        <v/>
      </c>
      <c r="E60" s="17" t="str">
        <f aca="false">IF(AND(ISNUMBER(C60),ISNUMBER(D60)),C60-D60,"")</f>
        <v/>
      </c>
      <c r="F60" s="17" t="n">
        <f aca="false">SUM($E$3:E60)</f>
        <v>210</v>
      </c>
      <c r="G60" s="17" t="n">
        <f aca="false">MAX($F$3:F60)</f>
        <v>210</v>
      </c>
      <c r="H60" s="17" t="n">
        <f aca="false">F60-G60</f>
        <v>0</v>
      </c>
    </row>
    <row r="61" customFormat="false" ht="15" hidden="false" customHeight="false" outlineLevel="0" collapsed="false">
      <c r="A61" s="16" t="n">
        <f aca="false">HB分析!A61</f>
        <v>46205</v>
      </c>
      <c r="B61" s="18" t="str">
        <f aca="false">HB分析!T61</f>
        <v>-</v>
      </c>
      <c r="C61" s="17" t="str">
        <f aca="false">IF(B61="◎売り確定",IFERROR(データ!D62,""),"")</f>
        <v/>
      </c>
      <c r="D61" s="17" t="str">
        <f aca="false">IF(B61="◎売り確定",IFERROR(データ!G66,""),"")</f>
        <v/>
      </c>
      <c r="E61" s="17" t="str">
        <f aca="false">IF(AND(ISNUMBER(C61),ISNUMBER(D61)),C61-D61,"")</f>
        <v/>
      </c>
      <c r="F61" s="17" t="n">
        <f aca="false">SUM($E$3:E61)</f>
        <v>210</v>
      </c>
      <c r="G61" s="17" t="n">
        <f aca="false">MAX($F$3:F61)</f>
        <v>210</v>
      </c>
      <c r="H61" s="17" t="n">
        <f aca="false">F61-G61</f>
        <v>0</v>
      </c>
    </row>
    <row r="62" customFormat="false" ht="15" hidden="false" customHeight="false" outlineLevel="0" collapsed="false">
      <c r="A62" s="16" t="n">
        <f aca="false">HB分析!A62</f>
        <v>46206</v>
      </c>
      <c r="B62" s="18" t="str">
        <f aca="false">HB分析!T62</f>
        <v>-</v>
      </c>
      <c r="C62" s="17" t="str">
        <f aca="false">IF(B62="◎売り確定",IFERROR(データ!D63,""),"")</f>
        <v/>
      </c>
      <c r="D62" s="17" t="str">
        <f aca="false">IF(B62="◎売り確定",IFERROR(データ!G67,""),"")</f>
        <v/>
      </c>
      <c r="E62" s="17" t="str">
        <f aca="false">IF(AND(ISNUMBER(C62),ISNUMBER(D62)),C62-D62,"")</f>
        <v/>
      </c>
      <c r="F62" s="17" t="n">
        <f aca="false">SUM($E$3:E62)</f>
        <v>210</v>
      </c>
      <c r="G62" s="17" t="n">
        <f aca="false">MAX($F$3:F62)</f>
        <v>210</v>
      </c>
      <c r="H62" s="17" t="n">
        <f aca="false">F62-G62</f>
        <v>0</v>
      </c>
    </row>
    <row r="63" customFormat="false" ht="15" hidden="false" customHeight="false" outlineLevel="0" collapsed="false">
      <c r="A63" s="16" t="n">
        <f aca="false">HB分析!A63</f>
        <v>46209</v>
      </c>
      <c r="B63" s="18" t="str">
        <f aca="false">HB分析!T63</f>
        <v>-</v>
      </c>
      <c r="C63" s="17" t="str">
        <f aca="false">IF(B63="◎売り確定",IFERROR(データ!D64,""),"")</f>
        <v/>
      </c>
      <c r="D63" s="17" t="str">
        <f aca="false">IF(B63="◎売り確定",IFERROR(データ!G68,""),"")</f>
        <v/>
      </c>
      <c r="E63" s="17" t="str">
        <f aca="false">IF(AND(ISNUMBER(C63),ISNUMBER(D63)),C63-D63,"")</f>
        <v/>
      </c>
      <c r="F63" s="17" t="n">
        <f aca="false">SUM($E$3:E63)</f>
        <v>210</v>
      </c>
      <c r="G63" s="17" t="n">
        <f aca="false">MAX($F$3:F63)</f>
        <v>210</v>
      </c>
      <c r="H63" s="17" t="n">
        <f aca="false">F63-G63</f>
        <v>0</v>
      </c>
    </row>
    <row r="64" customFormat="false" ht="15" hidden="false" customHeight="false" outlineLevel="0" collapsed="false">
      <c r="A64" s="16" t="n">
        <f aca="false">HB分析!A64</f>
        <v>46210</v>
      </c>
      <c r="B64" s="18" t="str">
        <f aca="false">HB分析!T64</f>
        <v>-</v>
      </c>
      <c r="C64" s="17" t="str">
        <f aca="false">IF(B64="◎売り確定",IFERROR(データ!D65,""),"")</f>
        <v/>
      </c>
      <c r="D64" s="17" t="str">
        <f aca="false">IF(B64="◎売り確定",IFERROR(データ!G69,""),"")</f>
        <v/>
      </c>
      <c r="E64" s="17" t="str">
        <f aca="false">IF(AND(ISNUMBER(C64),ISNUMBER(D64)),C64-D64,"")</f>
        <v/>
      </c>
      <c r="F64" s="17" t="n">
        <f aca="false">SUM($E$3:E64)</f>
        <v>210</v>
      </c>
      <c r="G64" s="17" t="n">
        <f aca="false">MAX($F$3:F64)</f>
        <v>210</v>
      </c>
      <c r="H64" s="17" t="n">
        <f aca="false">F64-G64</f>
        <v>0</v>
      </c>
    </row>
    <row r="65" customFormat="false" ht="15" hidden="false" customHeight="false" outlineLevel="0" collapsed="false">
      <c r="A65" s="16" t="n">
        <f aca="false">HB分析!A65</f>
        <v>46211</v>
      </c>
      <c r="B65" s="18" t="str">
        <f aca="false">HB分析!T65</f>
        <v>-</v>
      </c>
      <c r="C65" s="17" t="str">
        <f aca="false">IF(B65="◎売り確定",IFERROR(データ!D66,""),"")</f>
        <v/>
      </c>
      <c r="D65" s="17" t="str">
        <f aca="false">IF(B65="◎売り確定",IFERROR(データ!G70,""),"")</f>
        <v/>
      </c>
      <c r="E65" s="17" t="str">
        <f aca="false">IF(AND(ISNUMBER(C65),ISNUMBER(D65)),C65-D65,"")</f>
        <v/>
      </c>
      <c r="F65" s="17" t="n">
        <f aca="false">SUM($E$3:E65)</f>
        <v>210</v>
      </c>
      <c r="G65" s="17" t="n">
        <f aca="false">MAX($F$3:F65)</f>
        <v>210</v>
      </c>
      <c r="H65" s="17" t="n">
        <f aca="false">F65-G65</f>
        <v>0</v>
      </c>
    </row>
    <row r="66" customFormat="false" ht="15" hidden="false" customHeight="false" outlineLevel="0" collapsed="false">
      <c r="A66" s="16" t="n">
        <f aca="false">HB分析!A66</f>
        <v>46212</v>
      </c>
      <c r="B66" s="18" t="str">
        <f aca="false">HB分析!T66</f>
        <v>-</v>
      </c>
      <c r="C66" s="17" t="str">
        <f aca="false">IF(B66="◎売り確定",IFERROR(データ!D67,""),"")</f>
        <v/>
      </c>
      <c r="D66" s="17" t="str">
        <f aca="false">IF(B66="◎売り確定",IFERROR(データ!G71,""),"")</f>
        <v/>
      </c>
      <c r="E66" s="17" t="str">
        <f aca="false">IF(AND(ISNUMBER(C66),ISNUMBER(D66)),C66-D66,"")</f>
        <v/>
      </c>
      <c r="F66" s="17" t="n">
        <f aca="false">SUM($E$3:E66)</f>
        <v>210</v>
      </c>
      <c r="G66" s="17" t="n">
        <f aca="false">MAX($F$3:F66)</f>
        <v>210</v>
      </c>
      <c r="H66" s="17" t="n">
        <f aca="false">F66-G66</f>
        <v>0</v>
      </c>
    </row>
    <row r="67" customFormat="false" ht="15" hidden="false" customHeight="false" outlineLevel="0" collapsed="false">
      <c r="A67" s="16" t="n">
        <f aca="false">HB分析!A67</f>
        <v>46213</v>
      </c>
      <c r="B67" s="18" t="str">
        <f aca="false">HB分析!T67</f>
        <v>-</v>
      </c>
      <c r="C67" s="17" t="str">
        <f aca="false">IF(B67="◎売り確定",IFERROR(データ!D68,""),"")</f>
        <v/>
      </c>
      <c r="D67" s="17" t="str">
        <f aca="false">IF(B67="◎売り確定",IFERROR(データ!G72,""),"")</f>
        <v/>
      </c>
      <c r="E67" s="17" t="str">
        <f aca="false">IF(AND(ISNUMBER(C67),ISNUMBER(D67)),C67-D67,"")</f>
        <v/>
      </c>
      <c r="F67" s="17" t="n">
        <f aca="false">SUM($E$3:E67)</f>
        <v>210</v>
      </c>
      <c r="G67" s="17" t="n">
        <f aca="false">MAX($F$3:F67)</f>
        <v>210</v>
      </c>
      <c r="H67" s="17" t="n">
        <f aca="false">F67-G67</f>
        <v>0</v>
      </c>
    </row>
    <row r="68" customFormat="false" ht="15" hidden="false" customHeight="false" outlineLevel="0" collapsed="false">
      <c r="A68" s="16" t="n">
        <f aca="false">HB分析!A68</f>
        <v>46216</v>
      </c>
      <c r="B68" s="18" t="str">
        <f aca="false">HB分析!T68</f>
        <v>-</v>
      </c>
      <c r="C68" s="17" t="str">
        <f aca="false">IF(B68="◎売り確定",IFERROR(データ!D69,""),"")</f>
        <v/>
      </c>
      <c r="D68" s="17"/>
      <c r="E68" s="17" t="str">
        <f aca="false">IF(AND(ISNUMBER(C68),ISNUMBER(D68)),C68-D68,"")</f>
        <v/>
      </c>
      <c r="F68" s="17" t="n">
        <f aca="false">SUM($E$3:E68)</f>
        <v>210</v>
      </c>
      <c r="G68" s="17" t="n">
        <f aca="false">MAX($F$3:F68)</f>
        <v>210</v>
      </c>
      <c r="H68" s="17" t="n">
        <f aca="false">F68-G68</f>
        <v>0</v>
      </c>
    </row>
    <row r="69" customFormat="false" ht="15" hidden="false" customHeight="false" outlineLevel="0" collapsed="false">
      <c r="A69" s="16" t="n">
        <f aca="false">HB分析!A69</f>
        <v>46217</v>
      </c>
      <c r="B69" s="18" t="str">
        <f aca="false">HB分析!T69</f>
        <v>-</v>
      </c>
      <c r="C69" s="17" t="str">
        <f aca="false">IF(B69="◎売り確定",IFERROR(データ!D70,""),"")</f>
        <v/>
      </c>
      <c r="D69" s="17"/>
      <c r="E69" s="17" t="str">
        <f aca="false">IF(AND(ISNUMBER(C69),ISNUMBER(D69)),C69-D69,"")</f>
        <v/>
      </c>
      <c r="F69" s="17" t="n">
        <f aca="false">SUM($E$3:E69)</f>
        <v>210</v>
      </c>
      <c r="G69" s="17" t="n">
        <f aca="false">MAX($F$3:F69)</f>
        <v>210</v>
      </c>
      <c r="H69" s="17" t="n">
        <f aca="false">F69-G69</f>
        <v>0</v>
      </c>
    </row>
    <row r="70" customFormat="false" ht="15" hidden="false" customHeight="false" outlineLevel="0" collapsed="false">
      <c r="A70" s="16" t="n">
        <f aca="false">HB分析!A70</f>
        <v>46218</v>
      </c>
      <c r="B70" s="18" t="str">
        <f aca="false">HB分析!T70</f>
        <v>-</v>
      </c>
      <c r="C70" s="17" t="str">
        <f aca="false">IF(B70="◎売り確定",IFERROR(データ!D71,""),"")</f>
        <v/>
      </c>
      <c r="D70" s="17"/>
      <c r="E70" s="17" t="str">
        <f aca="false">IF(AND(ISNUMBER(C70),ISNUMBER(D70)),C70-D70,"")</f>
        <v/>
      </c>
      <c r="F70" s="17" t="n">
        <f aca="false">SUM($E$3:E70)</f>
        <v>210</v>
      </c>
      <c r="G70" s="17" t="n">
        <f aca="false">MAX($F$3:F70)</f>
        <v>210</v>
      </c>
      <c r="H70" s="17" t="n">
        <f aca="false">F70-G70</f>
        <v>0</v>
      </c>
    </row>
    <row r="71" customFormat="false" ht="15" hidden="false" customHeight="false" outlineLevel="0" collapsed="false">
      <c r="A71" s="16" t="n">
        <f aca="false">HB分析!A71</f>
        <v>46219</v>
      </c>
      <c r="B71" s="18" t="str">
        <f aca="false">HB分析!T71</f>
        <v>-</v>
      </c>
      <c r="C71" s="17" t="str">
        <f aca="false">IF(B71="◎売り確定",IFERROR(データ!D72,""),"")</f>
        <v/>
      </c>
      <c r="D71" s="17"/>
      <c r="E71" s="17" t="str">
        <f aca="false">IF(AND(ISNUMBER(C71),ISNUMBER(D71)),C71-D71,"")</f>
        <v/>
      </c>
      <c r="F71" s="17" t="n">
        <f aca="false">SUM($E$3:E71)</f>
        <v>210</v>
      </c>
      <c r="G71" s="17" t="n">
        <f aca="false">MAX($F$3:F71)</f>
        <v>210</v>
      </c>
      <c r="H71" s="17" t="n">
        <f aca="false">F71-G71</f>
        <v>0</v>
      </c>
    </row>
    <row r="72" customFormat="false" ht="15" hidden="false" customHeight="false" outlineLevel="0" collapsed="false">
      <c r="A72" s="16" t="n">
        <f aca="false">HB分析!A72</f>
        <v>46220</v>
      </c>
      <c r="B72" s="18" t="str">
        <f aca="false">HB分析!T72</f>
        <v>-</v>
      </c>
      <c r="C72" s="17"/>
      <c r="D72" s="17"/>
      <c r="E72" s="17" t="str">
        <f aca="false">IF(AND(ISNUMBER(C72),ISNUMBER(D72)),C72-D72,"")</f>
        <v/>
      </c>
      <c r="F72" s="17" t="n">
        <f aca="false">SUM($E$3:E72)</f>
        <v>210</v>
      </c>
      <c r="G72" s="17" t="n">
        <f aca="false">MAX($F$3:F72)</f>
        <v>210</v>
      </c>
      <c r="H72" s="17" t="n">
        <f aca="false">F72-G72</f>
        <v>0</v>
      </c>
    </row>
    <row r="74" customFormat="false" ht="15" hidden="false" customHeight="false" outlineLevel="0" collapsed="false">
      <c r="A74" s="23" t="s">
        <v>7</v>
      </c>
    </row>
    <row r="75" customFormat="false" ht="15" hidden="false" customHeight="false" outlineLevel="0" collapsed="false">
      <c r="A75" s="24" t="s">
        <v>8</v>
      </c>
      <c r="B75" s="25" t="n">
        <f aca="false">COUNT(E3:E72)</f>
        <v>5</v>
      </c>
    </row>
    <row r="76" customFormat="false" ht="15" hidden="false" customHeight="false" outlineLevel="0" collapsed="false">
      <c r="A76" s="24" t="s">
        <v>9</v>
      </c>
      <c r="B76" s="25" t="n">
        <f aca="false">COUNTIF(E3:E72,"&gt;0")</f>
        <v>2</v>
      </c>
    </row>
    <row r="77" customFormat="false" ht="15" hidden="false" customHeight="false" outlineLevel="0" collapsed="false">
      <c r="A77" s="24" t="s">
        <v>10</v>
      </c>
      <c r="B77" s="26" t="n">
        <f aca="false">IFERROR(B76/B75,"")</f>
        <v>0.4</v>
      </c>
    </row>
    <row r="78" customFormat="false" ht="15" hidden="false" customHeight="false" outlineLevel="0" collapsed="false">
      <c r="A78" s="24" t="s">
        <v>11</v>
      </c>
      <c r="B78" s="25" t="n">
        <f aca="false">SUMIF(E3:E72,"&gt;0")</f>
        <v>6460</v>
      </c>
    </row>
    <row r="79" customFormat="false" ht="15" hidden="false" customHeight="false" outlineLevel="0" collapsed="false">
      <c r="A79" s="24" t="s">
        <v>12</v>
      </c>
      <c r="B79" s="25" t="n">
        <f aca="false">SUMIF(E3:E72,"&lt;0")</f>
        <v>-6250</v>
      </c>
    </row>
    <row r="80" customFormat="false" ht="15" hidden="false" customHeight="false" outlineLevel="0" collapsed="false">
      <c r="A80" s="24" t="s">
        <v>13</v>
      </c>
      <c r="B80" s="25" t="n">
        <f aca="false">IFERROR(B78/ABS(B79),"")</f>
        <v>1.0336</v>
      </c>
    </row>
    <row r="81" customFormat="false" ht="15" hidden="false" customHeight="false" outlineLevel="0" collapsed="false">
      <c r="A81" s="24" t="s">
        <v>14</v>
      </c>
      <c r="B81" s="25" t="n">
        <f aca="false">F72</f>
        <v>210</v>
      </c>
    </row>
    <row r="82" customFormat="false" ht="15" hidden="false" customHeight="false" outlineLevel="0" collapsed="false">
      <c r="A82" s="24" t="s">
        <v>15</v>
      </c>
      <c r="B82" s="25" t="n">
        <f aca="false">MIN(H3:H72)</f>
        <v>-6250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9.4" hidden="false" customHeight="false" outlineLevel="0" collapsed="false">
      <c r="A1" s="1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2026-07-22T09:43:07Z</dcterms:created>
  <dc:creator>openpyxl</dc:creator>
  <dc:description/>
  <dc:language>en-US</dc:language>
  <cp:lastModifiedBy/>
  <dcterms:modified xsi:type="dcterms:W3CDTF">2026-07-22T09:43:10Z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